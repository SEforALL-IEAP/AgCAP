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forallorg.sharepoint.com/Middle-Earth/Shared Documents/3. Team Folders/Policy/UIEP/1. Activities/H. Center of Excellence/5. Data &amp; Tools/IEP Cooling Component/MDG/AgCAP MDG - deploy folder/docs/"/>
    </mc:Choice>
  </mc:AlternateContent>
  <xr:revisionPtr revIDLastSave="278" documentId="8_{53B8EE6F-FDB7-4160-8946-61F8CE9E97DB}" xr6:coauthVersionLast="47" xr6:coauthVersionMax="47" xr10:uidLastSave="{8C7B2422-5DA6-4D7B-9219-893EA6D259C5}"/>
  <bookViews>
    <workbookView xWindow="-103" yWindow="-103" windowWidth="24892" windowHeight="14914" xr2:uid="{877A706C-C57B-4FA4-8A66-B89DBD743672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5" i="1"/>
  <c r="D6" i="1"/>
  <c r="D7" i="1"/>
  <c r="D8" i="1"/>
  <c r="D9" i="1"/>
  <c r="D10" i="1"/>
  <c r="D12" i="1"/>
  <c r="D13" i="1"/>
  <c r="D14" i="1"/>
  <c r="D24" i="1"/>
  <c r="D11" i="1"/>
  <c r="D15" i="1"/>
  <c r="D16" i="1"/>
  <c r="D17" i="1"/>
  <c r="D18" i="1"/>
  <c r="D19" i="1"/>
  <c r="D21" i="1"/>
  <c r="D22" i="1"/>
  <c r="D25" i="1"/>
  <c r="D26" i="1"/>
  <c r="D27" i="1"/>
  <c r="D29" i="1"/>
  <c r="D28" i="1"/>
  <c r="D30" i="1"/>
  <c r="G23" i="1"/>
  <c r="G20" i="1"/>
  <c r="G4" i="1"/>
  <c r="G3" i="1"/>
  <c r="G5" i="1"/>
  <c r="G6" i="1"/>
  <c r="G7" i="1"/>
  <c r="G8" i="1"/>
  <c r="G9" i="1"/>
  <c r="G10" i="1"/>
  <c r="G12" i="1"/>
  <c r="G13" i="1"/>
  <c r="G14" i="1"/>
  <c r="G24" i="1"/>
  <c r="G11" i="1"/>
  <c r="G15" i="1"/>
  <c r="G16" i="1"/>
  <c r="G17" i="1"/>
  <c r="G18" i="1"/>
  <c r="G19" i="1"/>
  <c r="G21" i="1"/>
  <c r="G22" i="1"/>
  <c r="G25" i="1"/>
  <c r="G26" i="1"/>
  <c r="G27" i="1"/>
  <c r="G29" i="1"/>
  <c r="G28" i="1"/>
  <c r="G30" i="1"/>
  <c r="G2" i="1"/>
</calcChain>
</file>

<file path=xl/sharedStrings.xml><?xml version="1.0" encoding="utf-8"?>
<sst xmlns="http://schemas.openxmlformats.org/spreadsheetml/2006/main" count="177" uniqueCount="125">
  <si>
    <t>Dataset Name</t>
  </si>
  <si>
    <t>Format</t>
  </si>
  <si>
    <r>
      <t>Shapefile (</t>
    </r>
    <r>
      <rPr>
        <sz val="10"/>
        <color rgb="FF444746"/>
        <rFont val="Google Sans Text"/>
        <family val="2"/>
      </rPr>
      <t>.shp</t>
    </r>
    <r>
      <rPr>
        <sz val="11"/>
        <color rgb="FF1F1F1F"/>
        <rFont val="Arial"/>
        <family val="2"/>
      </rPr>
      <t>)</t>
    </r>
  </si>
  <si>
    <r>
      <t>GeoTIFF (</t>
    </r>
    <r>
      <rPr>
        <sz val="10"/>
        <color rgb="FF444746"/>
        <rFont val="Google Sans Text"/>
        <family val="2"/>
      </rPr>
      <t>.tif</t>
    </r>
    <r>
      <rPr>
        <sz val="11"/>
        <color rgb="FF1F1F1F"/>
        <rFont val="Arial"/>
        <family val="2"/>
      </rPr>
      <t>)</t>
    </r>
  </si>
  <si>
    <t>Climatic Classification</t>
  </si>
  <si>
    <t>Conflict Events</t>
  </si>
  <si>
    <r>
      <t>CSV (</t>
    </r>
    <r>
      <rPr>
        <sz val="10"/>
        <color rgb="FF444746"/>
        <rFont val="Google Sans Text"/>
        <family val="2"/>
      </rPr>
      <t>.csv</t>
    </r>
    <r>
      <rPr>
        <sz val="11"/>
        <color rgb="FF1F1F1F"/>
        <rFont val="Arial"/>
        <family val="2"/>
      </rPr>
      <t>)</t>
    </r>
  </si>
  <si>
    <t>Cyclone Hazard</t>
  </si>
  <si>
    <t>Diurnal Range (Temp)</t>
  </si>
  <si>
    <t>WorldClim BIO Variables</t>
  </si>
  <si>
    <t>Elevation</t>
  </si>
  <si>
    <t>Food Security</t>
  </si>
  <si>
    <t>Integrated Food Security Phase Classification (IPC)</t>
  </si>
  <si>
    <r>
      <t>GeoJSON (</t>
    </r>
    <r>
      <rPr>
        <sz val="10"/>
        <color rgb="FF444746"/>
        <rFont val="Google Sans Text"/>
        <family val="2"/>
      </rPr>
      <t>.geojson</t>
    </r>
    <r>
      <rPr>
        <sz val="11"/>
        <color rgb="FF1F1F1F"/>
        <rFont val="Arial"/>
        <family val="2"/>
      </rPr>
      <t>)</t>
    </r>
  </si>
  <si>
    <t>Hot Days (hd30)</t>
  </si>
  <si>
    <t>Relative Humidity (hurs)</t>
  </si>
  <si>
    <t>Electrification Status (IEP)</t>
  </si>
  <si>
    <r>
      <t>GeoPackage (</t>
    </r>
    <r>
      <rPr>
        <sz val="10"/>
        <color rgb="FF444746"/>
        <rFont val="Google Sans Text"/>
        <family val="2"/>
      </rPr>
      <t>.gpkg</t>
    </r>
    <r>
      <rPr>
        <sz val="11"/>
        <color rgb="FF1F1F1F"/>
        <rFont val="Arial"/>
        <family val="2"/>
      </rPr>
      <t>)</t>
    </r>
  </si>
  <si>
    <t>Livelihood Zones</t>
  </si>
  <si>
    <t>Mini-Grids</t>
  </si>
  <si>
    <t>MV Lines</t>
  </si>
  <si>
    <t>Nightlight</t>
  </si>
  <si>
    <t>VIIRS/NPP Visible Infrared Imaging Radiometer Suite</t>
  </si>
  <si>
    <t>Population</t>
  </si>
  <si>
    <t>Precipitation</t>
  </si>
  <si>
    <t>PV Output (pvout)</t>
  </si>
  <si>
    <t>Relative Wealth Index (rwi)</t>
  </si>
  <si>
    <t>Settlements</t>
  </si>
  <si>
    <t>GRID3 Settlement Extents</t>
  </si>
  <si>
    <t>Shoreline</t>
  </si>
  <si>
    <t>OpenStreetMap (OSM) Coastline</t>
  </si>
  <si>
    <t>Travel Times</t>
  </si>
  <si>
    <t>Temperature (Annual Avg)</t>
  </si>
  <si>
    <t>JRC Global Surface Water (GSW)</t>
  </si>
  <si>
    <t>Link for download</t>
  </si>
  <si>
    <t>Admin Boundaries</t>
  </si>
  <si>
    <t>Source</t>
  </si>
  <si>
    <t>Coverage</t>
  </si>
  <si>
    <t>GADM</t>
  </si>
  <si>
    <t>World</t>
  </si>
  <si>
    <t>Sub-Saharan Africa</t>
  </si>
  <si>
    <t>93 low and middle-income countries</t>
  </si>
  <si>
    <t>ACLED</t>
  </si>
  <si>
    <t>https://data.humdata.org/dataset/?dataseries_name=COD+-+Subnational+Administrative+Boundaries</t>
  </si>
  <si>
    <t>Aridity Index</t>
  </si>
  <si>
    <t>OCHA</t>
  </si>
  <si>
    <t>Several low and middle-income countries</t>
  </si>
  <si>
    <t>Admin Boundaries (alternative)</t>
  </si>
  <si>
    <t>https://gadm.org/download_country.html</t>
  </si>
  <si>
    <t>GeoPackage (.gpkg)</t>
  </si>
  <si>
    <t>Most countries</t>
  </si>
  <si>
    <t>Global Aridity Index and Potential Evapo-Transpiration (ET0) Database v3</t>
  </si>
  <si>
    <t>https://gee-community-catalog.org/projects/ai0/#paper-citation</t>
  </si>
  <si>
    <t>Download Global-AI_ET0_v3_annual version; clip global dataset by admin0 boundary</t>
  </si>
  <si>
    <t>https://www.gloh2o.org/koppen/</t>
  </si>
  <si>
    <t>Köppen-Geiger Maps</t>
  </si>
  <si>
    <t>Isolate the 1991_2020\koppen_geiger_0p00833333 file; clip global dataset by admin0 boundary</t>
  </si>
  <si>
    <t>https://acleddata.com/conflict-data/data-export-tool</t>
  </si>
  <si>
    <t>Download and pre-processing needs</t>
  </si>
  <si>
    <t>Register for free -&gt; Data Export Tool -&gt; set date range = last 2 years, location = country of interest, leave the rest as default -&gt; download</t>
  </si>
  <si>
    <t>Cropland Extent</t>
  </si>
  <si>
    <t>Straight save in raw data structure</t>
  </si>
  <si>
    <t>Not publicly available</t>
  </si>
  <si>
    <t>Link/Source</t>
  </si>
  <si>
    <t>Global cropland expansion in the 21st century (GLAD / Potapov)</t>
  </si>
  <si>
    <t>UNDRR Global Assessment Report (GAR)'s Global model of cyclone wind 50, 100, 250, 500 and 1000 years return period</t>
  </si>
  <si>
    <t>https://www.worldclim.org/data/worldclim21.html</t>
  </si>
  <si>
    <t>https://data.humdata.org/dataset/cyclone-wind-100-years-return-period?</t>
  </si>
  <si>
    <t>https://glad.umd.edu/dataset/croplands</t>
  </si>
  <si>
    <t>https://gee-community-catalog.org/projects/glo30/</t>
  </si>
  <si>
    <t>Copernicus Digital Elevation Model (GLO-30 DEM)</t>
  </si>
  <si>
    <t>WorldClim BIO Clim Variables</t>
  </si>
  <si>
    <t>Selected food-insecure countries</t>
  </si>
  <si>
    <t>Country-specific</t>
  </si>
  <si>
    <t>For more accurate results, subtract rice fields data (https://zenodo.org/records/13729353) or any othe dominant non-perishable crop from the cropland extent dataset</t>
  </si>
  <si>
    <t>Medium Voltage (MV) Electrical Lines from Government stakeholders</t>
  </si>
  <si>
    <t>Mini-grid location from Government stakeholders</t>
  </si>
  <si>
    <t>Any vector format</t>
  </si>
  <si>
    <t>Depending on country</t>
  </si>
  <si>
    <t>https://www.ipcinfo.org/ipc-country-analysis/ipc-mapping-tool/</t>
  </si>
  <si>
    <t>Click on the country on the map -&gt; select the latest Acute Food Insecurity Analysis -&gt; download GIS format</t>
  </si>
  <si>
    <t>Google Earth Engine script provided [TO BE PROVIDED]</t>
  </si>
  <si>
    <t>Calculation based on ERA5-Land Daily Aggregated</t>
  </si>
  <si>
    <t>https://developers.google.com/earth-engine/datasets/catalog/ECMWF_ERA5_LAND_DAILY_AGGR</t>
  </si>
  <si>
    <t>Download the whole 10 Gb "bio 30s" zipped file from the link provided or use Google Earth Engine to download only the required variable and for the required geography https://developers.google.com/earth-engine/datasets/catalog/WORLDCLIM_V1_BIO [GEE CODE TO BE PROVIDED]</t>
  </si>
  <si>
    <t>https://wbg-cckp.s3.amazonaws.com/data/cmip6-x0.25/hd30/ensemble-all-historical/climatology-hd30-annual-mean_cmip6-x0.25_ensemble-all-historical_climatology_median_1995-2014.nc</t>
  </si>
  <si>
    <t>Convert .nc file into raster TIF file</t>
  </si>
  <si>
    <t>https://fews.net/data/livelihood-zones</t>
  </si>
  <si>
    <t>FEWS NETLivelihood Zones</t>
  </si>
  <si>
    <t>CIMIP6 from World Bank Climate Change Knowledge Portal (CCKP)</t>
  </si>
  <si>
    <t>Either download from Google Earth Engine (CODE TO BE PROVIDED) or download the  NASA (SRTM 1 Arc-Second Global) using the SRTM Downloader Plugin within QGIS</t>
  </si>
  <si>
    <t>https://eogdata.mines.edu/products/vnl/.</t>
  </si>
  <si>
    <t>Download the latest available Monthly Cloud-free DNB Composite, Median.</t>
  </si>
  <si>
    <t>Meta's Relative Wealth Index Map</t>
  </si>
  <si>
    <t>https://data.humdata.org/dataset/relative-wealth-index?fbclid=IwZXh0bgNhZW0CMTEAYnJpZBExMHp4QTY3ellmaFg2c0dER3NydGMGYXBwX2lkATAAAR5CYAQfvmSSPSh2JLrDT8sebiJEC1jmH-9_HB05sAcSi8fQx947oY87GUzyig_aem_l0P1tM-UMYF3heZ2Fp419A</t>
  </si>
  <si>
    <t>Customized population clusters can be used with a few tweaks on the code</t>
  </si>
  <si>
    <t>https://data.grid3.org/search?tags=settlements</t>
  </si>
  <si>
    <t>To download only the specific country's coastlines, use the QuickOSM Plugin within QGIS</t>
  </si>
  <si>
    <t>Global Solar Atlas's Specific solar photovoltaic (PV) output</t>
  </si>
  <si>
    <t>https://globalsolaratlas.info/download</t>
  </si>
  <si>
    <t>https://malariaatlas.org/project-resources/accessibility-to-healthcare/</t>
  </si>
  <si>
    <t>Travel times to Airports, Ports, Capital, Cities, Railways</t>
  </si>
  <si>
    <t>Global Solar Atlas's Mean Temperature</t>
  </si>
  <si>
    <t>https://developers.google.com/earth-engine/datasets/catalog/JRC_GSW1_4_GlobalSurfaceWater</t>
  </si>
  <si>
    <t>Google Earth Engine to download only the required variable and for the required geography [GEE CODE TO BE PROVIDED]</t>
  </si>
  <si>
    <t>Integrated Electrification Planning Results, from Government stakeholders</t>
  </si>
  <si>
    <t>https://hub.worldpop.org/geodata/listing?id=100</t>
  </si>
  <si>
    <t>WorldPop's constrained Individual Countries 2015-2030 100m resolution</t>
  </si>
  <si>
    <t>Open Street Map Airports</t>
  </si>
  <si>
    <t>Open Street Map Ports</t>
  </si>
  <si>
    <t>Open Street Map Railway Stations</t>
  </si>
  <si>
    <t>https://overpass-turbo.eu/?Q=%2F*%0AThis%20query%20looks%20for%20nodes%2C%20ways%2C%20and%20relations%20%0Atagged%20as%20%27railway%3Dstation%27%20or%20%27railway%3Dhalt%27%20%0Awithin%20the%20area%20of%20Madagascar.%0A*%2F%0A%0A%5Bout%3Ajson%5D%5Btimeout%3A25%5D%3B%0A%0A%2F%2F%20fetch%20area%20%E2%80%9CMadagascar%E2%80%9D%20to%20search%20in%0A%7B%7BgeocodeArea%3AMadagascar%7D%7D-%3E.searchArea%3B%0A%0A%2F%2F%20gather%20results%0A%28%0A%20%20%2F%2F%20query%20for%20stations%0A%20%20node%5B%22railway%22%3D%22station%22%5D%28area.searchArea%29%3B%0A%20%20way%5B%22railway%22%3D%22station%22%5D%28area.searchArea%29%3B%0A%20%20relation%5B%22railway%22%3D%22station%22%5D%28area.searchArea%29%3B%0A%0A%20%20%2F%2F%20query%20for%20smaller%20halts%20%28optional%2C%20but%20recommended%29%0A%20%20node%5B%22railway%22%3D%22halt%22%5D%28area.searchArea%29%3B%0A%20%20way%5B%22railway%22%3D%22halt%22%5D%28area.searchArea%29%3B%0A%20%20relation%5B%22railway%22%3D%22halt%22%5D%28area.searchArea%29%3B%0A%29%3B%0A%0A%2F%2F%20print%20results%0Aout%20geom%3B&amp;C=-20.092272%3B48.051011%3B8&amp;R=</t>
  </si>
  <si>
    <t>https://overpass-turbo.eu/?Q=%2F*%0AThis%20query%20looks%20for%20nodes%2C%20ways%2C%20and%20relations%20%0Atagged%20as%20%27industrial%3Dport%27%20%28commercial%20ports%29%20%0Aor%20%27harbour%27%20%28general%20harbors%29%20in%20Madagascar.%0A*%2F%0A%0A%5Bout%3Ajson%5D%5Btimeout%3A25%5D%3B%0A%0A%2F%2F%20fetch%20area%20%E2%80%9CMadagascar%E2%80%9D%0A%7B%7BgeocodeArea%3AMadagascar%7D%7D-%3E.searchArea%3B%0A%0A%2F%2F%20gather%20results%0A%28%0A%20%20%2F%2F%201.%20Search%20for%20industrial%20port%20areas%20%28best%20for%20main%20commercial%20ports%29%0A%20%20node%5B%22industrial%22%3D%22port%22%5D%28area.searchArea%29%3B%0A%20%20way%5B%22industrial%22%3D%22port%22%5D%28area.searchArea%29%3B%0A%20%20relation%5B%22industrial%22%3D%22port%22%5D%28area.searchArea%29%3B%0A%0A%20%20%2F%2F%202.%20Search%20for%20general%20harbor%20nodes%2Fareas%0A%20%20node%5B%22harbour%22%5D%28area.searchArea%29%3B%0A%20%20way%5B%22harbour%22%5D%28area.searchArea%29%3B%0A%20%20relation%5B%22harbour%22%5D%28area.searchArea%29%3B%0A%29%3B%0A%0A%2F%2F%20print%20results%20with%20geometry%0Aout%20geom%3B&amp;C=-20.386531%3B49.205028%3B6&amp;R=</t>
  </si>
  <si>
    <t>https://overpass-turbo.eu/?Q=%2F*%0AThis%20query%20looks%20for%20nodes%2C%20ways%2C%20and%20relations%20%0Atagged%20as%20%27aeroway%3Daerodrome%27%20%28airports%2Fairstrips%29%20%0Ain%20Madagascar.%0A*%2F%0A%0A%5Bout%3Ajson%5D%5Btimeout%3A25%5D%3B%0A%0A%2F%2F%20fetch%20area%20%E2%80%9CMadagascar%E2%80%9D%0A%7B%7BgeocodeArea%3AMadagascar%7D%7D-%3E.searchArea%3B%0A%0A%2F%2F%20gather%20results%0A%28%0A%20%20%2F%2F%20Search%20for%20airports%20mapped%20as%20points%20%28nodes%29%0A%20%20node%5B%22aeroway%22%3D%22aerodrome%22%5D%28area.searchArea%29%3B%0A%20%20%0A%20%20%2F%2F%20Search%20for%20airports%20mapped%20as%20outlines%2Fpolygons%20%28ways%2Frelations%29%0A%20%20way%5B%22aeroway%22%3D%22aerodrome%22%5D%28area.searchArea%29%3B%0A%20%20relation%5B%22aeroway%22%3D%22aerodrome%22%5D%28area.searchArea%29%3B%0A%29%3B%0A%0A%2F%2F%20print%20results%20with%20geometry%0Aout%20geom%3B&amp;C=-19.642037%3B49.774223%3B6&amp;R=</t>
  </si>
  <si>
    <t>Airports location</t>
  </si>
  <si>
    <t>Ports location</t>
  </si>
  <si>
    <t>Railway Stations location</t>
  </si>
  <si>
    <t>Hyperlink</t>
  </si>
  <si>
    <t>GeoJSON (.geojson)</t>
  </si>
  <si>
    <t>54 low- and middle-income countries</t>
  </si>
  <si>
    <t>Water Occurence</t>
  </si>
  <si>
    <t>https://overpass-turbo.eu/?q=LyoKVGhpcyBxdWVyeSBzZWxlY3TEhmFsbCB3YXnEhnRhZ2dlZCAnbmF0dXLElT1jb2FzdGxpbmUnIAp3aXTEhG4gxLplIGFkbcSyxIV0xKl0aXbEv2JvdW5kYcSLIG9mIE3FgcSexK5jxZEuCiovCgpbxY10Ompzb25dW8WIbWXFpDo2MF07IC8vIEluY3JlxK7EocS9acWuxaQgZm9yIHBvdGVuxYjElWzEjGzFkcSgxIfEicSLxaHFtyBGxLLEosS-xYDFgsWExK_Fh8WJxL_FkcW-xoXGh8WWxZhnxZrFkQp7e8Sgb8SsZGVBxb1hOsWXxZDGrXPFm3J9fS0-LsSOxZFjaMa4xb47xpnFuEfEpmjEisWAxJbEmMSaxJzEnsSgxKLEpcSnxKlsxKvErcSvxLHEsyDEsnNpxrbEvceSxYDGucS3xJpbIsecxKjElSI9IsSsxK7EsMSyZSJdKManYceGxb5yx4nHi2Epx40KxppQcsSydCDFvXN1bMSTxJjEuWggxrPFrsWGeQrGhMiaOw&amp;c=Bc3iYSOD8G&amp;R=</t>
  </si>
  <si>
    <t>To be converted into raster GeoTIFF using the auxiliary tool provided</t>
  </si>
  <si>
    <t>To be processed to calculate accessibility (travel time) raster files, using the auxiliary tool provided</t>
  </si>
  <si>
    <t>Generated by the dedicated auxiliary tool provided, starting from 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</si>
</sst>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4" fillId="0" borderId="0" xfId="0" applyFont="1" applyAlignment="1">
      <alignment vertical="center"/>
    </xf>
    <xf numFmtId="0" fontId="5" fillId="0" borderId="0" xfId="1"/>
    <xf numFmtId="0" fontId="5" fillId="0" borderId="0" xfId="1" applyAlignment="1">
      <alignment vertical="center" wrapText="1" readingOrder="1"/>
    </xf>
    <xf numFmtId="0" fontId="5" fillId="0" borderId="0" xfId="1" applyAlignment="1"/>
    <xf numFmtId="0" fontId="5" fillId="0" borderId="0" xfId="1" applyAlignment="1">
      <alignment vertical="center" readingOrder="1"/>
    </xf>
    <xf numFmtId="0" fontId="3" fillId="0" borderId="0" xfId="0" applyFont="1" applyAlignment="1">
      <alignment vertical="center" readingOrder="1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79781-8FE5-4755-92DC-07F4A9BDCE4B}" name="Table1" displayName="Table1" ref="A1:H30" totalsRowShown="0" headerRowDxfId="8" dataDxfId="7">
  <autoFilter ref="A1:H30" xr:uid="{79079781-8FE5-4755-92DC-07F4A9BDCE4B}"/>
  <sortState xmlns:xlrd2="http://schemas.microsoft.com/office/spreadsheetml/2017/richdata2" ref="A2:H30">
    <sortCondition ref="A1:A30"/>
  </sortState>
  <tableColumns count="8">
    <tableColumn id="1" xr3:uid="{E13F611F-BD1C-498D-B9CD-DB0AD15C6ED0}" name="Dataset Name" dataDxfId="6"/>
    <tableColumn id="2" xr3:uid="{A42481F1-84D0-45F0-BA71-2CA85212CA81}" name="Link for download" dataDxfId="5"/>
    <tableColumn id="3" xr3:uid="{25621E37-C066-4D09-A3CB-8B51BD43C131}" name="Source" dataDxfId="4"/>
    <tableColumn id="8" xr3:uid="{783878A8-6C96-4E34-ADEA-2FBB5E47B7AB}" name="Hyperlink" dataDxfId="3">
      <calculatedColumnFormula>HYPERLINK(Table1[[#This Row],[Link for download]],Table1[[#This Row],[Source]])</calculatedColumnFormula>
    </tableColumn>
    <tableColumn id="4" xr3:uid="{28AEA9BB-3F45-4A84-9C3B-2A001B36AF5C}" name="Format" dataDxfId="2"/>
    <tableColumn id="5" xr3:uid="{EA21E45D-9AA9-4EC5-A06E-41985B11D354}" name="Coverage" dataDxfId="1"/>
    <tableColumn id="6" xr3:uid="{C34F61CF-2EB2-4C3E-AB7D-104707C4DE03}" name="Link/Source">
      <calculatedColumnFormula>_xlfn.CONCAT("[",C2,"](",B2,")")</calculatedColumnFormula>
    </tableColumn>
    <tableColumn id="7" xr3:uid="{A5CDD107-F848-4BCE-A508-45890C826E54}" name="Download and pre-processing nee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clim.org/data/worldclim21.html" TargetMode="External"/><Relationship Id="rId13" Type="http://schemas.openxmlformats.org/officeDocument/2006/relationships/hyperlink" Target="https://fews.net/data/livelihood-zones" TargetMode="External"/><Relationship Id="rId18" Type="http://schemas.openxmlformats.org/officeDocument/2006/relationships/hyperlink" Target="https://globalsolaratlas.info/download" TargetMode="External"/><Relationship Id="rId26" Type="http://schemas.openxmlformats.org/officeDocument/2006/relationships/hyperlink" Target="https://overpass-turbo.eu/?Q=%2F*%0AThis%20query%20looks%20for%20nodes%2C%20ways%2C%20and%20relations%20%0Atagged%20as%20%27railway%3Dstation%27%20or%20%27railway%3Dhalt%27%20%0Awithin%20the%20area%20of%20Madagascar.%0A*%2F%0A%0A%5Bout%3Ajson%5D%5Btimeout%3A25%5D%3B%0A%0A%2F%2F%20fetch%20area%20%E2%80%9CMadagascar%E2%80%9D%20to%20search%20in%0A%7B%7BgeocodeArea%3AMadagascar%7D%7D-%3E.searchArea%3B%0A%0A%2F%2F%20gather%20results%0A%28%0A%20%20%2F%2F%20query%20for%20stations%0A%20%20node%5B%22railway%22%3D%22station%22%5D%28area.searchArea%29%3B%0A%20%20way%5B%22railway%22%3D%22station%22%5D%28area.searchArea%29%3B%0A%20%20relation%5B%22railway%22%3D%22station%22%5D%28area.searchArea%29%3B%0A%0A%20%20%2F%2F%20query%20for%20smaller%20halts%20%28optional%2C%20but%20recommended%29%0A%20%20node%5B%22railway%22%3D%22halt%22%5D%28area.searchArea%29%3B%0A%20%20way%5B%22railway%22%3D%22halt%22%5D%28area.searchArea%29%3B%0A%20%20relation%5B%22railway%22%3D%22halt%22%5D%28area.searchArea%29%3B%0A%29%3B%0A%0A%2F%2F%20print%20results%0Aout%20geom%3B&amp;C=-20.092272%3B48.051011%3B8&amp;R=" TargetMode="External"/><Relationship Id="rId3" Type="http://schemas.openxmlformats.org/officeDocument/2006/relationships/hyperlink" Target="https://gee-community-catalog.org/projects/ai0/" TargetMode="External"/><Relationship Id="rId21" Type="http://schemas.openxmlformats.org/officeDocument/2006/relationships/hyperlink" Target="https://developers.google.com/earth-engine/datasets/catalog/JRC_GSW1_4_GlobalSurfaceWater" TargetMode="External"/><Relationship Id="rId7" Type="http://schemas.openxmlformats.org/officeDocument/2006/relationships/hyperlink" Target="https://data.humdata.org/dataset/cyclone-wind-100-years-return-period?" TargetMode="External"/><Relationship Id="rId12" Type="http://schemas.openxmlformats.org/officeDocument/2006/relationships/hyperlink" Target="https://wbg-cckp.s3.amazonaws.com/data/cmip6-x0.25/hd30/ensemble-all-historical/climatology-hd30-annual-mean_cmip6-x0.25_ensemble-all-historical_climatology_median_1995-2014.nc" TargetMode="External"/><Relationship Id="rId17" Type="http://schemas.openxmlformats.org/officeDocument/2006/relationships/hyperlink" Target="https://overpass-turbo.eu/?q=LyoKVGhpcyBxdWVyeSBzZWxlY3TEhmFsbCB3YXnEhnRhZ2dlZCAnbmF0dXLElT1jb2FzdGxpbmUnIAp3aXTEhG4gxLplIGFkbcSyxIV0xKl0aXbEv2JvdW5kYcSLIG9mIE3FgcSexK5jxZEuCiovCgpbxY10Ompzb25dW8WIbWXFpDo2MF07IC8vIEluY3JlxK7EocS9acWuxaQgZm9yIHBvdGVuxYjElWzEjGzFkcSgxIfEicSLxaHFtyBGxLLEosS-xYDFgsWExK_Fh8WJxL_FkcW-xoXGh8WWxZhnxZrFkQp7e8Sgb8SsZGVBxb1hOsWXxZDGrXPFm3J9fS0-LsSOxZFjaMa4xb47xpnFuEfEpmjEisWAxJbEmMSaxJzEnsSgxKLEpcSnxKlsxKvErcSvxLHEsyDEsnNpxrbEvceSxYDGucS3xJpbIsecxKjElSI9IsSsxK7EsMSyZSJdKManYceGxb5yx4nHi2Epx40KxppQcsSydCDFvXN1bMSTxJjEuWggxrPFrsWGeQrGhMiaOw&amp;c=Bc3iYSOD8G&amp;R=" TargetMode="External"/><Relationship Id="rId25" Type="http://schemas.openxmlformats.org/officeDocument/2006/relationships/hyperlink" Target="https://overpass-turbo.eu/?q=LyoKVGhpcyBoYcSGYmVlbiBnxI1lcmF0ZWQgYnkgdGhlIG92xJJwxIlzLXR1cmJvIHdpemFyZC7EgsSdxJ9yaWdpbmFsIHNlxLBjaMSsxIk6CsOiwoDCnGHEkm93YXk9xYtyb2TFk23EnsS6IE1hZGFnxIljxLDFiMKdCiovCltvdXQ6anNvbl1bdGnFl8WqxawyNV07Ci8vIGZldMWCIMSwxYAgxYjCnMWbxZ3Fn3PFoXLFo8SbxKvEv8WBxYPEugp7e8SQb2PFlGVBcsWAOsaLxZ7FoMSwfX0tPi7GlHLFgsagxYDFvMW-xI_ElMSdciDGoXN1bHRzCm53clsixZLFjcWPIj3HhMWMxZVvxZciXSjGhmHGrMWAxq5oxrBhKcayxb9wxLdudMa4Zca6xrzGvsW3xI9lx407&amp;c=Bc-vENREyG&amp;R=" TargetMode="External"/><Relationship Id="rId2" Type="http://schemas.openxmlformats.org/officeDocument/2006/relationships/hyperlink" Target="https://gadm.org/download_country.html" TargetMode="External"/><Relationship Id="rId16" Type="http://schemas.openxmlformats.org/officeDocument/2006/relationships/hyperlink" Target="https://data.grid3.org/search?tags=settlements" TargetMode="External"/><Relationship Id="rId20" Type="http://schemas.openxmlformats.org/officeDocument/2006/relationships/hyperlink" Target="https://globalsolaratlas.info/download" TargetMode="External"/><Relationship Id="rId1" Type="http://schemas.openxmlformats.org/officeDocument/2006/relationships/hyperlink" Target="https://data.humdata.org/dataset/?dataseries_name=COD+-+Subnational+Administrative+Boundaries" TargetMode="External"/><Relationship Id="rId6" Type="http://schemas.openxmlformats.org/officeDocument/2006/relationships/hyperlink" Target="https://glad.umd.edu/dataset/croplands" TargetMode="External"/><Relationship Id="rId11" Type="http://schemas.openxmlformats.org/officeDocument/2006/relationships/hyperlink" Target="https://developers.google.com/earth-engine/datasets/catalog/ECMWF_ERA5_LAND_DAILY_AGGR" TargetMode="External"/><Relationship Id="rId24" Type="http://schemas.openxmlformats.org/officeDocument/2006/relationships/hyperlink" Target="https://overpass-turbo.eu/s/2h4M" TargetMode="External"/><Relationship Id="rId5" Type="http://schemas.openxmlformats.org/officeDocument/2006/relationships/hyperlink" Target="https://acleddata.com/conflict-data/data-export-tool" TargetMode="External"/><Relationship Id="rId15" Type="http://schemas.openxmlformats.org/officeDocument/2006/relationships/hyperlink" Target="https://data.humdata.org/dataset/relative-wealth-index?fbclid=IwZXh0bgNhZW0CMTEAYnJpZBExMHp4QTY3ellmaFg2c0dER3NydGMGYXBwX2lkATAAAR5CYAQfvmSSPSh2JLrDT8sebiJEC1jmH-9_HB05sAcSi8fQx947oY87GUzyig_aem_l0P1tM-UMYF3heZ2Fp419A" TargetMode="External"/><Relationship Id="rId23" Type="http://schemas.openxmlformats.org/officeDocument/2006/relationships/hyperlink" Target="https://hub.worldpop.org/geodata/listing?id=100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ipcinfo.org/ipc-country-analysis/ipc-mapping-tool/" TargetMode="External"/><Relationship Id="rId19" Type="http://schemas.openxmlformats.org/officeDocument/2006/relationships/hyperlink" Target="https://malariaatlas.org/project-resources/accessibility-to-healthcare/" TargetMode="External"/><Relationship Id="rId4" Type="http://schemas.openxmlformats.org/officeDocument/2006/relationships/hyperlink" Target="https://www.gloh2o.org/koppen/" TargetMode="External"/><Relationship Id="rId9" Type="http://schemas.openxmlformats.org/officeDocument/2006/relationships/hyperlink" Target="https://gee-community-catalog.org/projects/glo30/" TargetMode="External"/><Relationship Id="rId14" Type="http://schemas.openxmlformats.org/officeDocument/2006/relationships/hyperlink" Target="https://eogdata.mines.edu/products/vnl/" TargetMode="External"/><Relationship Id="rId22" Type="http://schemas.openxmlformats.org/officeDocument/2006/relationships/hyperlink" Target="https://www.worldclim.org/data/worldclim21.html" TargetMode="External"/><Relationship Id="rId27" Type="http://schemas.openxmlformats.org/officeDocument/2006/relationships/hyperlink" Target="https://overpass-turbo.eu/?Q=%2F*%0AThis%20query%20looks%20for%20nodes%2C%20ways%2C%20and%20relations%20%0Atagged%20as%20%27industrial%3Dport%27%20%28commercial%20ports%29%20%0Aor%20%27harbour%27%20%28general%20harbors%29%20in%20Madagascar.%0A*%2F%0A%0A%5Bout%3Ajson%5D%5Btimeout%3A25%5D%3B%0A%0A%2F%2F%20fetch%20area%20%E2%80%9CMadagascar%E2%80%9D%0A%7B%7BgeocodeArea%3AMadagascar%7D%7D-%3E.searchArea%3B%0A%0A%2F%2F%20gather%20results%0A%28%0A%20%20%2F%2F%201.%20Search%20for%20industrial%20port%20areas%20%28best%20for%20main%20commercial%20ports%29%0A%20%20node%5B%22industrial%22%3D%22port%22%5D%28area.searchArea%29%3B%0A%20%20way%5B%22industrial%22%3D%22port%22%5D%28area.searchArea%29%3B%0A%20%20relation%5B%22industrial%22%3D%22port%22%5D%28area.searchArea%29%3B%0A%0A%20%20%2F%2F%202.%20Search%20for%20general%20harbor%20nodes%2Fareas%0A%20%20node%5B%22harbour%22%5D%28area.searchArea%29%3B%0A%20%20way%5B%22harbour%22%5D%28area.searchArea%29%3B%0A%20%20relation%5B%22harbour%22%5D%28area.searchArea%29%3B%0A%29%3B%0A%0A%2F%2F%20print%20results%20with%20geometry%0Aout%20geom%3B&amp;C=-20.386531%3B49.205028%3B6&amp;R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7323-9097-4763-8186-45DCAFAA8EDC}">
  <dimension ref="A1:H30"/>
  <sheetViews>
    <sheetView showGridLines="0" tabSelected="1" topLeftCell="A14" zoomScale="61" zoomScaleNormal="100" workbookViewId="0">
      <selection activeCell="F35" sqref="F35"/>
    </sheetView>
  </sheetViews>
  <sheetFormatPr defaultRowHeight="14.6"/>
  <cols>
    <col min="1" max="1" width="27.84375" customWidth="1"/>
    <col min="2" max="6" width="29.07421875" customWidth="1"/>
    <col min="7" max="7" width="44.15234375" customWidth="1"/>
    <col min="8" max="8" width="37.61328125" customWidth="1"/>
  </cols>
  <sheetData>
    <row r="1" spans="1:8">
      <c r="A1" s="1" t="s">
        <v>0</v>
      </c>
      <c r="B1" s="1" t="s">
        <v>34</v>
      </c>
      <c r="C1" s="1" t="s">
        <v>36</v>
      </c>
      <c r="D1" s="1" t="s">
        <v>117</v>
      </c>
      <c r="E1" s="1" t="s">
        <v>1</v>
      </c>
      <c r="F1" s="1" t="s">
        <v>37</v>
      </c>
      <c r="G1" s="1" t="s">
        <v>63</v>
      </c>
      <c r="H1" s="1" t="s">
        <v>58</v>
      </c>
    </row>
    <row r="2" spans="1:8" ht="28.3">
      <c r="A2" s="1" t="s">
        <v>35</v>
      </c>
      <c r="B2" s="6" t="s">
        <v>43</v>
      </c>
      <c r="C2" s="2" t="s">
        <v>45</v>
      </c>
      <c r="D2" s="5" t="str">
        <f>HYPERLINK(Table1[[#This Row],[Link for download]],Table1[[#This Row],[Source]])</f>
        <v>OCHA</v>
      </c>
      <c r="E2" s="2" t="s">
        <v>2</v>
      </c>
      <c r="F2" s="2" t="s">
        <v>46</v>
      </c>
      <c r="G2" s="3" t="str">
        <f t="shared" ref="G2:G30" si="0">_xlfn.CONCAT("[",C2,"](",B2,")")</f>
        <v>[OCHA](https://data.humdata.org/dataset/?dataseries_name=COD+-+Subnational+Administrative+Boundaries)</v>
      </c>
      <c r="H2" s="2" t="s">
        <v>61</v>
      </c>
    </row>
    <row r="3" spans="1:8" ht="28.3">
      <c r="A3" s="1" t="s">
        <v>47</v>
      </c>
      <c r="B3" s="6" t="s">
        <v>48</v>
      </c>
      <c r="C3" s="2" t="s">
        <v>38</v>
      </c>
      <c r="D3" s="5" t="str">
        <f>HYPERLINK(Table1[[#This Row],[Link for download]],Table1[[#This Row],[Source]])</f>
        <v>GADM</v>
      </c>
      <c r="E3" s="2" t="s">
        <v>49</v>
      </c>
      <c r="F3" s="2" t="s">
        <v>50</v>
      </c>
      <c r="G3" s="3" t="str">
        <f t="shared" si="0"/>
        <v>[GADM](https://gadm.org/download_country.html)</v>
      </c>
      <c r="H3" s="2" t="s">
        <v>61</v>
      </c>
    </row>
    <row r="4" spans="1:8" ht="42.45">
      <c r="A4" s="1" t="s">
        <v>114</v>
      </c>
      <c r="B4" s="7" t="s">
        <v>113</v>
      </c>
      <c r="C4" s="2" t="s">
        <v>108</v>
      </c>
      <c r="D4" s="5" t="s">
        <v>108</v>
      </c>
      <c r="E4" s="2" t="s">
        <v>118</v>
      </c>
      <c r="F4" s="2" t="s">
        <v>39</v>
      </c>
      <c r="G4" t="str">
        <f t="shared" si="0"/>
        <v>[Open Street Map Airports](https://overpass-turbo.eu/?Q=%2F*%0AThis%20query%20looks%20for%20nodes%2C%20ways%2C%20and%20relations%20%0Atagged%20as%20%27aeroway%3Daerodrome%27%20%28airports%2Fairstrips%29%20%0Ain%20Madagascar.%0A*%2F%0A%0A%5Bout%3Ajson%5D%5Btimeout%3A25%5D%3B%0A%0A%2F%2F%20fetch%20area%20%E2%80%9CMadagascar%E2%80%9D%0A%7B%7BgeocodeArea%3AMadagascar%7D%7D-%3E.searchArea%3B%0A%0A%2F%2F%20gather%20results%0A%28%0A%20%20%2F%2F%20Search%20for%20airports%20mapped%20as%20points%20%28nodes%29%0A%20%20node%5B%22aeroway%22%3D%22aerodrome%22%5D%28area.searchArea%29%3B%0A%20%20%0A%20%20%2F%2F%20Search%20for%20airports%20mapped%20as%20outlines%2Fpolygons%20%28ways%2Frelations%29%0A%20%20way%5B%22aeroway%22%3D%22aerodrome%22%5D%28area.searchArea%29%3B%0A%20%20relation%5B%22aeroway%22%3D%22aerodrome%22%5D%28area.searchArea%29%3B%0A%29%3B%0A%0A%2F%2F%20print%20results%20with%20geometry%0Aout%20geom%3B&amp;C=-19.642037%3B49.774223%3B6&amp;R=)</v>
      </c>
      <c r="H4" s="2" t="s">
        <v>123</v>
      </c>
    </row>
    <row r="5" spans="1:8" ht="42.45">
      <c r="A5" s="1" t="s">
        <v>44</v>
      </c>
      <c r="B5" s="6" t="s">
        <v>52</v>
      </c>
      <c r="C5" t="s">
        <v>51</v>
      </c>
      <c r="D5" s="4" t="str">
        <f>HYPERLINK(Table1[[#This Row],[Link for download]],Table1[[#This Row],[Source]])</f>
        <v>Global Aridity Index and Potential Evapo-Transpiration (ET0) Database v3</v>
      </c>
      <c r="E5" s="2" t="s">
        <v>3</v>
      </c>
      <c r="F5" s="2" t="s">
        <v>39</v>
      </c>
      <c r="G5" s="3" t="str">
        <f t="shared" si="0"/>
        <v>[Global Aridity Index and Potential Evapo-Transpiration (ET0) Database v3](https://gee-community-catalog.org/projects/ai0/#paper-citation)</v>
      </c>
      <c r="H5" s="2" t="s">
        <v>53</v>
      </c>
    </row>
    <row r="6" spans="1:8" ht="56.6">
      <c r="A6" s="1" t="s">
        <v>4</v>
      </c>
      <c r="B6" s="7" t="s">
        <v>54</v>
      </c>
      <c r="C6" s="2" t="s">
        <v>55</v>
      </c>
      <c r="D6" s="5" t="str">
        <f>HYPERLINK(Table1[[#This Row],[Link for download]],Table1[[#This Row],[Source]])</f>
        <v>Köppen-Geiger Maps</v>
      </c>
      <c r="E6" s="2" t="s">
        <v>3</v>
      </c>
      <c r="F6" s="2" t="s">
        <v>39</v>
      </c>
      <c r="G6" s="3" t="str">
        <f t="shared" si="0"/>
        <v>[Köppen-Geiger Maps](https://www.gloh2o.org/koppen/)</v>
      </c>
      <c r="H6" s="2" t="s">
        <v>56</v>
      </c>
    </row>
    <row r="7" spans="1:8" ht="56.6">
      <c r="A7" s="1" t="s">
        <v>5</v>
      </c>
      <c r="B7" s="7" t="s">
        <v>57</v>
      </c>
      <c r="C7" s="2" t="s">
        <v>42</v>
      </c>
      <c r="D7" s="5" t="str">
        <f>HYPERLINK(Table1[[#This Row],[Link for download]],Table1[[#This Row],[Source]])</f>
        <v>ACLED</v>
      </c>
      <c r="E7" s="2" t="s">
        <v>6</v>
      </c>
      <c r="F7" s="2" t="s">
        <v>39</v>
      </c>
      <c r="G7" s="3" t="str">
        <f t="shared" si="0"/>
        <v>[ACLED](https://acleddata.com/conflict-data/data-export-tool)</v>
      </c>
      <c r="H7" s="2" t="s">
        <v>59</v>
      </c>
    </row>
    <row r="8" spans="1:8" ht="70.75">
      <c r="A8" s="1" t="s">
        <v>60</v>
      </c>
      <c r="B8" s="6" t="s">
        <v>68</v>
      </c>
      <c r="C8" s="2" t="s">
        <v>64</v>
      </c>
      <c r="D8" s="5" t="str">
        <f>HYPERLINK(Table1[[#This Row],[Link for download]],Table1[[#This Row],[Source]])</f>
        <v>Global cropland expansion in the 21st century (GLAD / Potapov)</v>
      </c>
      <c r="E8" s="2" t="s">
        <v>3</v>
      </c>
      <c r="F8" s="2" t="s">
        <v>39</v>
      </c>
      <c r="G8" s="3" t="str">
        <f t="shared" si="0"/>
        <v>[Global cropland expansion in the 21st century (GLAD / Potapov)](https://glad.umd.edu/dataset/croplands)</v>
      </c>
      <c r="H8" s="2" t="s">
        <v>74</v>
      </c>
    </row>
    <row r="9" spans="1:8" ht="70.75">
      <c r="A9" s="1" t="s">
        <v>7</v>
      </c>
      <c r="B9" s="6" t="s">
        <v>67</v>
      </c>
      <c r="C9" s="2" t="s">
        <v>65</v>
      </c>
      <c r="D9" s="5" t="str">
        <f>HYPERLINK(Table1[[#This Row],[Link for download]],Table1[[#This Row],[Source]])</f>
        <v>UNDRR Global Assessment Report (GAR)'s Global model of cyclone wind 50, 100, 250, 500 and 1000 years return period</v>
      </c>
      <c r="E9" s="2" t="s">
        <v>3</v>
      </c>
      <c r="F9" s="2" t="s">
        <v>39</v>
      </c>
      <c r="G9" s="3" t="str">
        <f t="shared" si="0"/>
        <v>[UNDRR Global Assessment Report (GAR)'s Global model of cyclone wind 50, 100, 250, 500 and 1000 years return period](https://data.humdata.org/dataset/cyclone-wind-100-years-return-period?)</v>
      </c>
      <c r="H9" s="2"/>
    </row>
    <row r="10" spans="1:8" ht="113.15">
      <c r="A10" s="1" t="s">
        <v>8</v>
      </c>
      <c r="B10" s="7" t="s">
        <v>66</v>
      </c>
      <c r="C10" s="2" t="s">
        <v>71</v>
      </c>
      <c r="D10" s="5" t="str">
        <f>HYPERLINK(Table1[[#This Row],[Link for download]],Table1[[#This Row],[Source]])</f>
        <v>WorldClim BIO Clim Variables</v>
      </c>
      <c r="E10" s="2" t="s">
        <v>3</v>
      </c>
      <c r="F10" s="2" t="s">
        <v>39</v>
      </c>
      <c r="G10" s="3" t="str">
        <f t="shared" si="0"/>
        <v>[WorldClim BIO Clim Variables](https://www.worldclim.org/data/worldclim21.html)</v>
      </c>
      <c r="H10" s="2" t="s">
        <v>84</v>
      </c>
    </row>
    <row r="11" spans="1:8" ht="43.75">
      <c r="A11" s="1" t="s">
        <v>16</v>
      </c>
      <c r="B11" t="s">
        <v>78</v>
      </c>
      <c r="C11" s="2" t="s">
        <v>105</v>
      </c>
      <c r="D11" s="5" t="str">
        <f>HYPERLINK(Table1[[#This Row],[Link for download]],Table1[[#This Row],[Source]])</f>
        <v>Integrated Electrification Planning Results, from Government stakeholders</v>
      </c>
      <c r="E11" s="2" t="s">
        <v>17</v>
      </c>
      <c r="F11" s="2" t="s">
        <v>73</v>
      </c>
      <c r="G11" s="3" t="str">
        <f t="shared" si="0"/>
        <v>[Integrated Electrification Planning Results, from Government stakeholders](Depending on country)</v>
      </c>
      <c r="H11" s="2"/>
    </row>
    <row r="12" spans="1:8" ht="70.75">
      <c r="A12" s="1" t="s">
        <v>10</v>
      </c>
      <c r="B12" s="7" t="s">
        <v>69</v>
      </c>
      <c r="C12" s="2" t="s">
        <v>70</v>
      </c>
      <c r="D12" s="5" t="str">
        <f>HYPERLINK(Table1[[#This Row],[Link for download]],Table1[[#This Row],[Source]])</f>
        <v>Copernicus Digital Elevation Model (GLO-30 DEM)</v>
      </c>
      <c r="E12" s="2" t="s">
        <v>3</v>
      </c>
      <c r="F12" s="2" t="s">
        <v>39</v>
      </c>
      <c r="G12" s="3" t="str">
        <f t="shared" si="0"/>
        <v>[Copernicus Digital Elevation Model (GLO-30 DEM)](https://gee-community-catalog.org/projects/glo30/)</v>
      </c>
      <c r="H12" s="2" t="s">
        <v>90</v>
      </c>
    </row>
    <row r="13" spans="1:8" ht="42.45">
      <c r="A13" s="1" t="s">
        <v>11</v>
      </c>
      <c r="B13" s="7" t="s">
        <v>79</v>
      </c>
      <c r="C13" s="2" t="s">
        <v>12</v>
      </c>
      <c r="D13" s="5" t="str">
        <f>HYPERLINK(Table1[[#This Row],[Link for download]],Table1[[#This Row],[Source]])</f>
        <v>Integrated Food Security Phase Classification (IPC)</v>
      </c>
      <c r="E13" s="2" t="s">
        <v>13</v>
      </c>
      <c r="F13" s="2" t="s">
        <v>72</v>
      </c>
      <c r="G13" s="3" t="str">
        <f t="shared" si="0"/>
        <v>[Integrated Food Security Phase Classification (IPC)](https://www.ipcinfo.org/ipc-country-analysis/ipc-mapping-tool/)</v>
      </c>
      <c r="H13" s="2" t="s">
        <v>80</v>
      </c>
    </row>
    <row r="14" spans="1:8" ht="29.15">
      <c r="A14" s="1" t="s">
        <v>14</v>
      </c>
      <c r="B14" s="7" t="s">
        <v>83</v>
      </c>
      <c r="C14" s="2" t="s">
        <v>82</v>
      </c>
      <c r="D14" s="5" t="str">
        <f>HYPERLINK(Table1[[#This Row],[Link for download]],Table1[[#This Row],[Source]])</f>
        <v>Calculation based on ERA5-Land Daily Aggregated</v>
      </c>
      <c r="E14" s="2" t="s">
        <v>3</v>
      </c>
      <c r="F14" s="2" t="s">
        <v>39</v>
      </c>
      <c r="G14" s="3" t="str">
        <f t="shared" si="0"/>
        <v>[Calculation based on ERA5-Land Daily Aggregated](https://developers.google.com/earth-engine/datasets/catalog/ECMWF_ERA5_LAND_DAILY_AGGR)</v>
      </c>
      <c r="H14" s="2" t="s">
        <v>81</v>
      </c>
    </row>
    <row r="15" spans="1:8" ht="28.3">
      <c r="A15" s="1" t="s">
        <v>18</v>
      </c>
      <c r="B15" s="7" t="s">
        <v>87</v>
      </c>
      <c r="C15" s="2" t="s">
        <v>88</v>
      </c>
      <c r="D15" s="5" t="str">
        <f>HYPERLINK(Table1[[#This Row],[Link for download]],Table1[[#This Row],[Source]])</f>
        <v>FEWS NETLivelihood Zones</v>
      </c>
      <c r="E15" s="2" t="s">
        <v>2</v>
      </c>
      <c r="F15" s="2" t="s">
        <v>119</v>
      </c>
      <c r="G15" s="3" t="str">
        <f t="shared" si="0"/>
        <v>[FEWS NETLivelihood Zones](https://fews.net/data/livelihood-zones)</v>
      </c>
      <c r="H15" s="2"/>
    </row>
    <row r="16" spans="1:8" ht="29.15">
      <c r="A16" s="1" t="s">
        <v>19</v>
      </c>
      <c r="B16" t="s">
        <v>62</v>
      </c>
      <c r="C16" s="2" t="s">
        <v>76</v>
      </c>
      <c r="D16" s="5" t="str">
        <f>HYPERLINK(Table1[[#This Row],[Link for download]],Table1[[#This Row],[Source]])</f>
        <v>Mini-grid location from Government stakeholders</v>
      </c>
      <c r="E16" s="2" t="s">
        <v>77</v>
      </c>
      <c r="F16" s="2" t="s">
        <v>73</v>
      </c>
      <c r="G16" s="3" t="str">
        <f t="shared" si="0"/>
        <v>[Mini-grid location from Government stakeholders](Not publicly available)</v>
      </c>
      <c r="H16" s="2"/>
    </row>
    <row r="17" spans="1:8" ht="43.75">
      <c r="A17" s="1" t="s">
        <v>20</v>
      </c>
      <c r="B17" t="s">
        <v>62</v>
      </c>
      <c r="C17" s="2" t="s">
        <v>75</v>
      </c>
      <c r="D17" s="5" t="str">
        <f>HYPERLINK(Table1[[#This Row],[Link for download]],Table1[[#This Row],[Source]])</f>
        <v>Medium Voltage (MV) Electrical Lines from Government stakeholders</v>
      </c>
      <c r="E17" s="2" t="s">
        <v>77</v>
      </c>
      <c r="F17" s="2" t="s">
        <v>73</v>
      </c>
      <c r="G17" s="3" t="str">
        <f t="shared" si="0"/>
        <v>[Medium Voltage (MV) Electrical Lines from Government stakeholders](Not publicly available)</v>
      </c>
      <c r="H17" s="2"/>
    </row>
    <row r="18" spans="1:8" ht="29.15">
      <c r="A18" s="1" t="s">
        <v>21</v>
      </c>
      <c r="B18" s="7" t="s">
        <v>91</v>
      </c>
      <c r="C18" s="2" t="s">
        <v>22</v>
      </c>
      <c r="D18" s="5" t="str">
        <f>HYPERLINK(Table1[[#This Row],[Link for download]],Table1[[#This Row],[Source]])</f>
        <v>VIIRS/NPP Visible Infrared Imaging Radiometer Suite</v>
      </c>
      <c r="E18" s="2" t="s">
        <v>3</v>
      </c>
      <c r="F18" s="2" t="s">
        <v>39</v>
      </c>
      <c r="G18" s="3" t="str">
        <f t="shared" si="0"/>
        <v>[VIIRS/NPP Visible Infrared Imaging Radiometer Suite](https://eogdata.mines.edu/products/vnl/.)</v>
      </c>
      <c r="H18" s="2" t="s">
        <v>92</v>
      </c>
    </row>
    <row r="19" spans="1:8" ht="43.75">
      <c r="A19" s="1" t="s">
        <v>23</v>
      </c>
      <c r="B19" s="7" t="s">
        <v>106</v>
      </c>
      <c r="C19" s="2" t="s">
        <v>107</v>
      </c>
      <c r="D19" s="5" t="str">
        <f>HYPERLINK(Table1[[#This Row],[Link for download]],Table1[[#This Row],[Source]])</f>
        <v>WorldPop's constrained Individual Countries 2015-2030 100m resolution</v>
      </c>
      <c r="E19" s="2" t="s">
        <v>3</v>
      </c>
      <c r="F19" s="2" t="s">
        <v>39</v>
      </c>
      <c r="G19" s="3" t="str">
        <f t="shared" si="0"/>
        <v>[WorldPop's constrained Individual Countries 2015-2030 100m resolution](https://hub.worldpop.org/geodata/listing?id=100)</v>
      </c>
      <c r="H19" s="2"/>
    </row>
    <row r="20" spans="1:8" ht="42.45">
      <c r="A20" s="1" t="s">
        <v>115</v>
      </c>
      <c r="B20" s="8" t="s">
        <v>112</v>
      </c>
      <c r="C20" s="2" t="s">
        <v>109</v>
      </c>
      <c r="D20" s="5" t="s">
        <v>109</v>
      </c>
      <c r="E20" s="2" t="s">
        <v>118</v>
      </c>
      <c r="F20" s="2" t="s">
        <v>39</v>
      </c>
      <c r="G20" t="str">
        <f t="shared" si="0"/>
        <v>[Open Street Map Ports](https://overpass-turbo.eu/?Q=%2F*%0AThis%20query%20looks%20for%20nodes%2C%20ways%2C%20and%20relations%20%0Atagged%20as%20%27industrial%3Dport%27%20%28commercial%20ports%29%20%0Aor%20%27harbour%27%20%28general%20harbors%29%20in%20Madagascar.%0A*%2F%0A%0A%5Bout%3Ajson%5D%5Btimeout%3A25%5D%3B%0A%0A%2F%2F%20fetch%20area%20%E2%80%9CMadagascar%E2%80%9D%0A%7B%7BgeocodeArea%3AMadagascar%7D%7D-%3E.searchArea%3B%0A%0A%2F%2F%20gather%20results%0A%28%0A%20%20%2F%2F%201.%20Search%20for%20industrial%20port%20areas%20%28best%20for%20main%20commercial%20ports%29%0A%20%20node%5B%22industrial%22%3D%22port%22%5D%28area.searchArea%29%3B%0A%20%20way%5B%22industrial%22%3D%22port%22%5D%28area.searchArea%29%3B%0A%20%20relation%5B%22industrial%22%3D%22port%22%5D%28area.searchArea%29%3B%0A%0A%20%20%2F%2F%202.%20Search%20for%20general%20harbor%20nodes%2Fareas%0A%20%20node%5B%22harbour%22%5D%28area.searchArea%29%3B%0A%20%20way%5B%22harbour%22%5D%28area.searchArea%29%3B%0A%20%20relation%5B%22harbour%22%5D%28area.searchArea%29%3B%0A%29%3B%0A%0A%2F%2F%20print%20results%20with%20geometry%0Aout%20geom%3B&amp;C=-20.386531%3B49.205028%3B6&amp;R=)</v>
      </c>
      <c r="H20" s="2" t="s">
        <v>123</v>
      </c>
    </row>
    <row r="21" spans="1:8" ht="113.15">
      <c r="A21" s="1" t="s">
        <v>24</v>
      </c>
      <c r="B21" s="7" t="s">
        <v>66</v>
      </c>
      <c r="C21" s="2" t="s">
        <v>9</v>
      </c>
      <c r="D21" s="5" t="str">
        <f>HYPERLINK(Table1[[#This Row],[Link for download]],Table1[[#This Row],[Source]])</f>
        <v>WorldClim BIO Variables</v>
      </c>
      <c r="E21" s="2" t="s">
        <v>3</v>
      </c>
      <c r="F21" s="2" t="s">
        <v>39</v>
      </c>
      <c r="G21" s="3" t="str">
        <f t="shared" si="0"/>
        <v>[WorldClim BIO Variables](https://www.worldclim.org/data/worldclim21.html)</v>
      </c>
      <c r="H21" s="2" t="s">
        <v>84</v>
      </c>
    </row>
    <row r="22" spans="1:8" ht="29.15">
      <c r="A22" s="1" t="s">
        <v>25</v>
      </c>
      <c r="B22" s="7" t="s">
        <v>99</v>
      </c>
      <c r="C22" s="2" t="s">
        <v>98</v>
      </c>
      <c r="D22" s="5" t="str">
        <f>HYPERLINK(Table1[[#This Row],[Link for download]],Table1[[#This Row],[Source]])</f>
        <v>Global Solar Atlas's Specific solar photovoltaic (PV) output</v>
      </c>
      <c r="E22" s="2" t="s">
        <v>3</v>
      </c>
      <c r="F22" s="2" t="s">
        <v>39</v>
      </c>
      <c r="G22" s="3" t="str">
        <f t="shared" si="0"/>
        <v>[Global Solar Atlas's Specific solar photovoltaic (PV) output](https://globalsolaratlas.info/download)</v>
      </c>
      <c r="H22" s="2"/>
    </row>
    <row r="23" spans="1:8" ht="42.45">
      <c r="A23" s="1" t="s">
        <v>116</v>
      </c>
      <c r="B23" s="8" t="s">
        <v>111</v>
      </c>
      <c r="C23" s="2" t="s">
        <v>110</v>
      </c>
      <c r="D23" s="5" t="s">
        <v>110</v>
      </c>
      <c r="E23" s="2" t="s">
        <v>118</v>
      </c>
      <c r="F23" s="2" t="s">
        <v>39</v>
      </c>
      <c r="G23" t="str">
        <f t="shared" si="0"/>
        <v>[Open Street Map Railway Stations](https://overpass-turbo.eu/?Q=%2F*%0AThis%20query%20looks%20for%20nodes%2C%20ways%2C%20and%20relations%20%0Atagged%20as%20%27railway%3Dstation%27%20or%20%27railway%3Dhalt%27%20%0Awithin%20the%20area%20of%20Madagascar.%0A*%2F%0A%0A%5Bout%3Ajson%5D%5Btimeout%3A25%5D%3B%0A%0A%2F%2F%20fetch%20area%20%E2%80%9CMadagascar%E2%80%9D%20to%20search%20in%0A%7B%7BgeocodeArea%3AMadagascar%7D%7D-%3E.searchArea%3B%0A%0A%2F%2F%20gather%20results%0A%28%0A%20%20%2F%2F%20query%20for%20stations%0A%20%20node%5B%22railway%22%3D%22station%22%5D%28area.searchArea%29%3B%0A%20%20way%5B%22railway%22%3D%22station%22%5D%28area.searchArea%29%3B%0A%20%20relation%5B%22railway%22%3D%22station%22%5D%28area.searchArea%29%3B%0A%0A%20%20%2F%2F%20query%20for%20smaller%20halts%20%28optional%2C%20but%20recommended%29%0A%20%20node%5B%22railway%22%3D%22halt%22%5D%28area.searchArea%29%3B%0A%20%20way%5B%22railway%22%3D%22halt%22%5D%28area.searchArea%29%3B%0A%20%20relation%5B%22railway%22%3D%22halt%22%5D%28area.searchArea%29%3B%0A%29%3B%0A%0A%2F%2F%20print%20results%0Aout%20geom%3B&amp;C=-20.092272%3B48.051011%3B8&amp;R=)</v>
      </c>
      <c r="H23" s="2" t="s">
        <v>123</v>
      </c>
    </row>
    <row r="24" spans="1:8" ht="42.45">
      <c r="A24" s="1" t="s">
        <v>15</v>
      </c>
      <c r="B24" s="7" t="s">
        <v>85</v>
      </c>
      <c r="C24" s="2" t="s">
        <v>89</v>
      </c>
      <c r="D24" s="5" t="str">
        <f>HYPERLINK(Table1[[#This Row],[Link for download]],Table1[[#This Row],[Source]])</f>
        <v>CIMIP6 from World Bank Climate Change Knowledge Portal (CCKP)</v>
      </c>
      <c r="E24" s="2" t="s">
        <v>3</v>
      </c>
      <c r="F24" s="2" t="s">
        <v>39</v>
      </c>
      <c r="G24" s="3" t="str">
        <f t="shared" si="0"/>
        <v>[CIMIP6 from World Bank Climate Change Knowledge Portal (CCKP)](https://wbg-cckp.s3.amazonaws.com/data/cmip6-x0.25/hd30/ensemble-all-historical/climatology-hd30-annual-mean_cmip6-x0.25_ensemble-all-historical_climatology_median_1995-2014.nc)</v>
      </c>
      <c r="H24" s="2" t="s">
        <v>86</v>
      </c>
    </row>
    <row r="25" spans="1:8" ht="28.3">
      <c r="A25" s="1" t="s">
        <v>26</v>
      </c>
      <c r="B25" s="7" t="s">
        <v>94</v>
      </c>
      <c r="C25" s="2" t="s">
        <v>93</v>
      </c>
      <c r="D25" s="5" t="str">
        <f>HYPERLINK(Table1[[#This Row],[Link for download]],Table1[[#This Row],[Source]])</f>
        <v>Meta's Relative Wealth Index Map</v>
      </c>
      <c r="E25" s="2" t="s">
        <v>3</v>
      </c>
      <c r="F25" s="2" t="s">
        <v>41</v>
      </c>
      <c r="G25" s="3" t="str">
        <f t="shared" si="0"/>
        <v>[Meta's Relative Wealth Index Map](https://data.humdata.org/dataset/relative-wealth-index?fbclid=IwZXh0bgNhZW0CMTEAYnJpZBExMHp4QTY3ellmaFg2c0dER3NydGMGYXBwX2lkATAAAR5CYAQfvmSSPSh2JLrDT8sebiJEC1jmH-9_HB05sAcSi8fQx947oY87GUzyig_aem_l0P1tM-UMYF3heZ2Fp419A)</v>
      </c>
      <c r="H25" s="2" t="s">
        <v>122</v>
      </c>
    </row>
    <row r="26" spans="1:8" ht="28.3">
      <c r="A26" s="1" t="s">
        <v>27</v>
      </c>
      <c r="B26" s="7" t="s">
        <v>96</v>
      </c>
      <c r="C26" s="2" t="s">
        <v>28</v>
      </c>
      <c r="D26" s="5" t="str">
        <f>HYPERLINK(Table1[[#This Row],[Link for download]],Table1[[#This Row],[Source]])</f>
        <v>GRID3 Settlement Extents</v>
      </c>
      <c r="E26" s="2" t="s">
        <v>17</v>
      </c>
      <c r="F26" s="2" t="s">
        <v>40</v>
      </c>
      <c r="G26" s="3" t="str">
        <f t="shared" si="0"/>
        <v>[GRID3 Settlement Extents](https://data.grid3.org/search?tags=settlements)</v>
      </c>
      <c r="H26" s="2" t="s">
        <v>95</v>
      </c>
    </row>
    <row r="27" spans="1:8" ht="42.45">
      <c r="A27" s="1" t="s">
        <v>29</v>
      </c>
      <c r="B27" s="7" t="s">
        <v>121</v>
      </c>
      <c r="C27" s="2" t="s">
        <v>30</v>
      </c>
      <c r="D27" s="5" t="e">
        <f>HYPERLINK(Table1[[#This Row],[Link for download]],Table1[[#This Row],[Source]])</f>
        <v>#VALUE!</v>
      </c>
      <c r="E27" s="2" t="s">
        <v>17</v>
      </c>
      <c r="F27" s="2" t="s">
        <v>39</v>
      </c>
      <c r="G27" s="3" t="str">
        <f t="shared" si="0"/>
        <v>[OpenStreetMap (OSM) Coastline](https://overpass-turbo.eu/?q=LyoKVGhpcyBxdWVyeSBzZWxlY3TEhmFsbCB3YXnEhnRhZ2dlZCAnbmF0dXLElT1jb2FzdGxpbmUnIAp3aXTEhG4gxLplIGFkbcSyxIV0xKl0aXbEv2JvdW5kYcSLIG9mIE3FgcSexK5jxZEuCiovCgpbxY10Ompzb25dW8WIbWXFpDo2MF07IC8vIEluY3JlxK7EocS9acWuxaQgZm9yIHBvdGVuxYjElWzEjGzFkcSgxIfEicSLxaHFtyBGxLLEosS-xYDFgsWExK_Fh8WJxL_FkcW-xoXGh8WWxZhnxZrFkQp7e8Sgb8SsZGVBxb1hOsWXxZDGrXPFm3J9fS0-LsSOxZFjaMa4xb47xpnFuEfEpmjEisWAxJbEmMSaxJzEnsSgxKLEpcSnxKlsxKvErcSvxLHEsyDEsnNpxrbEvceSxYDGucS3xJpbIsecxKjElSI9IsSsxK7EsMSyZSJdKManYceGxb5yx4nHi2Epx40KxppQcsSydCDFvXN1bMSTxJjEuWggxrPFrsWGeQrGhMiaOw&amp;c=Bc3iYSOD8G&amp;R=)</v>
      </c>
      <c r="H27" s="2" t="s">
        <v>97</v>
      </c>
    </row>
    <row r="28" spans="1:8" ht="29.15">
      <c r="A28" s="1" t="s">
        <v>32</v>
      </c>
      <c r="B28" s="7" t="s">
        <v>99</v>
      </c>
      <c r="C28" s="2" t="s">
        <v>102</v>
      </c>
      <c r="D28" s="5" t="str">
        <f>HYPERLINK(Table1[[#This Row],[Link for download]],Table1[[#This Row],[Source]])</f>
        <v>Global Solar Atlas's Mean Temperature</v>
      </c>
      <c r="E28" s="2" t="s">
        <v>3</v>
      </c>
      <c r="F28" s="2" t="s">
        <v>39</v>
      </c>
      <c r="G28" s="3" t="str">
        <f t="shared" si="0"/>
        <v>[Global Solar Atlas's Mean Temperature](https://globalsolaratlas.info/download)</v>
      </c>
      <c r="H28" s="2"/>
    </row>
    <row r="29" spans="1:8" ht="29.15">
      <c r="A29" s="1" t="s">
        <v>31</v>
      </c>
      <c r="B29" s="7" t="s">
        <v>100</v>
      </c>
      <c r="C29" s="2" t="s">
        <v>101</v>
      </c>
      <c r="D29" s="5" t="str">
        <f>HYPERLINK(Table1[[#This Row],[Link for download]],Table1[[#This Row],[Source]])</f>
        <v>Travel times to Airports, Ports, Capital, Cities, Railways</v>
      </c>
      <c r="E29" s="2" t="s">
        <v>3</v>
      </c>
      <c r="F29" s="2" t="s">
        <v>39</v>
      </c>
      <c r="G29" s="3" t="str">
        <f t="shared" si="0"/>
        <v>[Travel times to Airports, Ports, Capital, Cities, Railways](https://malariaatlas.org/project-resources/accessibility-to-healthcare/)</v>
      </c>
      <c r="H29" s="2" t="s">
        <v>124</v>
      </c>
    </row>
    <row r="30" spans="1:8" ht="120.9" customHeight="1">
      <c r="A30" s="1" t="s">
        <v>120</v>
      </c>
      <c r="B30" s="7" t="s">
        <v>103</v>
      </c>
      <c r="C30" s="2" t="s">
        <v>33</v>
      </c>
      <c r="D30" s="5" t="str">
        <f>HYPERLINK(Table1[[#This Row],[Link for download]],Table1[[#This Row],[Source]])</f>
        <v>JRC Global Surface Water (GSW)</v>
      </c>
      <c r="E30" s="2" t="s">
        <v>3</v>
      </c>
      <c r="F30" s="2" t="s">
        <v>39</v>
      </c>
      <c r="G30" s="3" t="str">
        <f t="shared" si="0"/>
        <v>[JRC Global Surface Water (GSW)](https://developers.google.com/earth-engine/datasets/catalog/JRC_GSW1_4_GlobalSurfaceWater)</v>
      </c>
      <c r="H30" s="2" t="s">
        <v>104</v>
      </c>
    </row>
  </sheetData>
  <hyperlinks>
    <hyperlink ref="B2" r:id="rId1" xr:uid="{90D5A370-A3E1-4984-8B9F-2868CA893B2E}"/>
    <hyperlink ref="B3" r:id="rId2" xr:uid="{DA902C22-777B-453D-BD8E-0930BD1BF92A}"/>
    <hyperlink ref="B5" r:id="rId3" location="paper-citation" xr:uid="{51D5DC14-F567-4451-A174-4F32ADCA4AA5}"/>
    <hyperlink ref="B6" r:id="rId4" xr:uid="{7892328C-DE61-4216-9813-EAE712411285}"/>
    <hyperlink ref="B7" r:id="rId5" xr:uid="{38FC03AF-4AB1-4577-A465-44CCCF5D29C7}"/>
    <hyperlink ref="B8" r:id="rId6" xr:uid="{905E343D-24CA-4FD4-94D7-AFA5AC4A4154}"/>
    <hyperlink ref="B9" r:id="rId7" xr:uid="{A1800C4B-9B53-4E6B-93FB-D0AAE2FD916F}"/>
    <hyperlink ref="B10" r:id="rId8" xr:uid="{537CF0E9-6BB1-45D5-8EE5-D7C02E27BEB4}"/>
    <hyperlink ref="B12" r:id="rId9" xr:uid="{FD813456-A8FD-49CD-9EF4-9AD9F769052B}"/>
    <hyperlink ref="B13" r:id="rId10" xr:uid="{5BD2FDD9-D03B-4FB8-BE9C-28A0337DFEC8}"/>
    <hyperlink ref="B14" r:id="rId11" xr:uid="{D9C6DFE4-BA63-4085-971C-EA29C2419631}"/>
    <hyperlink ref="B24" r:id="rId12" xr:uid="{50FBF2E0-0AB8-473C-A64D-3D2D931458C9}"/>
    <hyperlink ref="B15" r:id="rId13" xr:uid="{49268DFF-A2C6-46EE-9299-46494096C189}"/>
    <hyperlink ref="B18" r:id="rId14" xr:uid="{F2D1C0E1-E964-425D-892F-B226863AE421}"/>
    <hyperlink ref="B25" r:id="rId15" xr:uid="{F918867B-3906-4076-AFF8-34D5F539911C}"/>
    <hyperlink ref="B26" r:id="rId16" xr:uid="{9B664DC7-DCAF-443D-83A7-652244C238A7}"/>
    <hyperlink ref="B27" r:id="rId17" display="https://overpass-turbo.eu/?q=LyoKVGhpcyBxdWVyeSBzZWxlY3TEhmFsbCB3YXnEhnRhZ2dlZCAnbmF0dXLElT1jb2FzdGxpbmUnIAp3aXTEhG4gxLplIGFkbcSyxIV0xKl0aXbEv2JvdW5kYcSLIG9mIE3FgcSexK5jxZEuCiovCgpbxY10Ompzb25dW8WIbWXFpDo2MF07IC8vIEluY3JlxK7EocS9acWuxaQgZm9yIHBvdGVuxYjElWzEjGzFkcSgxIfEicSLxaHFtyBGxLLEosS-xYDFgsWExK_Fh8WJxL_FkcW-xoXGh8WWxZhnxZrFkQp7e8Sgb8SsZGVBxb1hOsWXxZDGrXPFm3J9fS0-LsSOxZFjaMa4xb47xpnFuEfEpmjEisWAxJbEmMSaxJzEnsSgxKLEpcSnxKlsxKvErcSvxLHEsyDEsnNpxrbEvceSxYDGucS3xJpbIsecxKjElSI9IsSsxK7EsMSyZSJdKManYceGxb5yx4nHi2Epx40KxppQcsSydCDFvXN1bMSTxJjEuWggxrPFrsWGeQrGhMiaOw&amp;c=Bc3iYSOD8G&amp;R=" xr:uid="{2EE32D99-4CD1-41A6-9DA5-4AC89E231933}"/>
    <hyperlink ref="B22" r:id="rId18" xr:uid="{2FAC69EA-ACA8-45D4-9EEB-94E8413683D9}"/>
    <hyperlink ref="B29" r:id="rId19" xr:uid="{BB189AE0-3DDE-425B-8883-E3E4A65E19F9}"/>
    <hyperlink ref="B28" r:id="rId20" xr:uid="{59881AD8-0CC4-4A9E-8458-C224FA4E68DD}"/>
    <hyperlink ref="B30" r:id="rId21" xr:uid="{C9C24E9F-954D-4F24-80F1-8F64AF4E333B}"/>
    <hyperlink ref="B21" r:id="rId22" xr:uid="{F20A0BBB-34DD-4014-A8F8-7AAC9B0E8645}"/>
    <hyperlink ref="B19" r:id="rId23" xr:uid="{EF4DC0C8-E192-4FF6-878F-DF4C7C4A38D9}"/>
    <hyperlink ref="B4" r:id="rId24" display="https://overpass-turbo.eu/s/2h4M" xr:uid="{0D07D622-344D-491E-AF81-70C6182B685C}"/>
    <hyperlink ref="D4" r:id="rId25" xr:uid="{1F3E7096-0A9A-4C39-AFB4-A80E123786F3}"/>
    <hyperlink ref="D23" r:id="rId26" xr:uid="{6005D8B4-F26A-446F-8D30-4226F18F0B4A}"/>
    <hyperlink ref="D20" r:id="rId27" xr:uid="{0FF2D568-9D25-44D7-8863-8F3901222F00}"/>
  </hyperlinks>
  <pageMargins left="0.7" right="0.7" top="0.75" bottom="0.75" header="0.3" footer="0.3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s_x002f_No xmlns="418c1687-f2b4-4c60-bff4-9f013a1b0e9b">true</Yes_x002f_No>
    <lcf76f155ced4ddcb4097134ff3c332f xmlns="418c1687-f2b4-4c60-bff4-9f013a1b0e9b">
      <Terms xmlns="http://schemas.microsoft.com/office/infopath/2007/PartnerControls"/>
    </lcf76f155ced4ddcb4097134ff3c332f>
    <Datetime xmlns="418c1687-f2b4-4c60-bff4-9f013a1b0e9b" xsi:nil="true"/>
    <Date_x002f_Time xmlns="418c1687-f2b4-4c60-bff4-9f013a1b0e9b" xsi:nil="true"/>
    <Date xmlns="418c1687-f2b4-4c60-bff4-9f013a1b0e9b" xsi:nil="true"/>
    <TaxCatchAll xmlns="dd8682f3-14aa-4a86-bc0b-a7c76dafad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561D1A5621A2498CEC3D8456AF0272" ma:contentTypeVersion="23" ma:contentTypeDescription="Create a new document." ma:contentTypeScope="" ma:versionID="673ae7116fe741eba857aa140154d293">
  <xsd:schema xmlns:xsd="http://www.w3.org/2001/XMLSchema" xmlns:xs="http://www.w3.org/2001/XMLSchema" xmlns:p="http://schemas.microsoft.com/office/2006/metadata/properties" xmlns:ns2="dd8682f3-14aa-4a86-bc0b-a7c76dafad6d" xmlns:ns3="418c1687-f2b4-4c60-bff4-9f013a1b0e9b" targetNamespace="http://schemas.microsoft.com/office/2006/metadata/properties" ma:root="true" ma:fieldsID="1d91f7a8935eb54ad5101523981e9c0e" ns2:_="" ns3:_="">
    <xsd:import namespace="dd8682f3-14aa-4a86-bc0b-a7c76dafad6d"/>
    <xsd:import namespace="418c1687-f2b4-4c60-bff4-9f013a1b0e9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Date" minOccurs="0"/>
                <xsd:element ref="ns3:MediaLengthInSeconds" minOccurs="0"/>
                <xsd:element ref="ns3:Yes_x002f_No" minOccurs="0"/>
                <xsd:element ref="ns3:lcf76f155ced4ddcb4097134ff3c332f" minOccurs="0"/>
                <xsd:element ref="ns2:TaxCatchAll" minOccurs="0"/>
                <xsd:element ref="ns3:Date_x002f_Time" minOccurs="0"/>
                <xsd:element ref="ns3:Date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82f3-14aa-4a86-bc0b-a7c76dafad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fcdcfff-05c2-48c0-a5b6-3d57bc6500d3}" ma:internalName="TaxCatchAll" ma:showField="CatchAllData" ma:web="dd8682f3-14aa-4a86-bc0b-a7c76dafad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c1687-f2b4-4c60-bff4-9f013a1b0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Yes_x002f_No" ma:index="22" nillable="true" ma:displayName="Yes/No" ma:default="1" ma:format="Dropdown" ma:internalName="Yes_x002f_No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4168d7-2d3a-468e-86fb-7813e7399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Datetime" ma:index="27" nillable="true" ma:displayName="Date time" ma:format="DateTime" ma:internalName="Datetime">
      <xsd:simpleType>
        <xsd:restriction base="dms:DateTim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AD1BE0-AD7B-442D-A04B-E0F6AD5F431F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dd8682f3-14aa-4a86-bc0b-a7c76dafad6d"/>
    <ds:schemaRef ds:uri="http://purl.org/dc/terms/"/>
    <ds:schemaRef ds:uri="http://purl.org/dc/dcmitype/"/>
    <ds:schemaRef ds:uri="418c1687-f2b4-4c60-bff4-9f013a1b0e9b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07F9656-75CD-4FE8-B440-A891FFC37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682f3-14aa-4a86-bc0b-a7c76dafad6d"/>
    <ds:schemaRef ds:uri="418c1687-f2b4-4c60-bff4-9f013a1b0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E1B351-0596-4C3C-85C1-37E3923427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Mazzoni</dc:creator>
  <cp:lastModifiedBy>Davide Mazzoni</cp:lastModifiedBy>
  <dcterms:created xsi:type="dcterms:W3CDTF">2025-12-04T16:14:21Z</dcterms:created>
  <dcterms:modified xsi:type="dcterms:W3CDTF">2025-12-12T17:34:33Z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0x01010071561D1A5621A2498CEC3D8456AF0272</vt:lpwstr>
  </property>
  <property fmtid="{D5CDD505-2E9C-101B-9397-08002B2CF9AE}" pid="3" name="MediaServiceImageTags">
    <vt:lpwstr/>
  </property>
</Properties>
</file>