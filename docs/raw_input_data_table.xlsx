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persons/person.xml" ContentType="application/vnd.ms-excel.person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6"/>
  <workbookPr defaultThemeVersion="202300"/>
  <mc:AlternateContent xmlns:mc="http://schemas.openxmlformats.org/markup-compatibility/2006">
    <mc:Choice Requires="x15">
      <x15ac:absPath xmlns:x15ac="http://schemas.microsoft.com/office/spreadsheetml/2010/11/ac" url="https://seforallorg.sharepoint.com/Middle-Earth/Shared Documents/3. Team Folders/Policy/UIEP/1. Activities/H. Center of Excellence/5. Data &amp; Tools/IEP Cooling Component/MDG/AgCAP MDG - deploy folder/docs/"/>
    </mc:Choice>
  </mc:AlternateContent>
  <xr:revisionPtr revIDLastSave="223" documentId="8_{53B8EE6F-FDB7-4160-8946-61F8CE9E97DB}" xr6:coauthVersionLast="47" xr6:coauthVersionMax="47" xr10:uidLastSave="{3309097D-D79F-437C-95A4-0B508469AAB7}"/>
  <bookViews>
    <workbookView xWindow="-103" yWindow="-103" windowWidth="24892" windowHeight="14914" xr2:uid="{877A706C-C57B-4FA4-8A66-B89DBD743672}"/>
  </bookViews>
  <sheets>
    <sheet name="table" sheetId="1" r:id="rId1"/>
    <sheet name="all (temp)" sheetId="2" r:id="rId2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F3" i="1" l="1"/>
  <c r="F4" i="1"/>
  <c r="F5" i="1"/>
  <c r="F6" i="1"/>
  <c r="F7" i="1"/>
  <c r="F8" i="1"/>
  <c r="F9" i="1"/>
  <c r="F10" i="1"/>
  <c r="F11" i="1"/>
  <c r="F12" i="1"/>
  <c r="F13" i="1"/>
  <c r="F14" i="1"/>
  <c r="F15" i="1"/>
  <c r="F16" i="1"/>
  <c r="F17" i="1"/>
  <c r="F18" i="1"/>
  <c r="F19" i="1"/>
  <c r="F20" i="1"/>
  <c r="F21" i="1"/>
  <c r="F22" i="1"/>
  <c r="F23" i="1"/>
  <c r="F24" i="1"/>
  <c r="F25" i="1"/>
  <c r="F26" i="1"/>
  <c r="F27" i="1"/>
  <c r="F2" i="1"/>
</calcChain>
</file>

<file path=xl/sharedStrings.xml><?xml version="1.0" encoding="utf-8"?>
<sst xmlns="http://schemas.openxmlformats.org/spreadsheetml/2006/main" count="326" uniqueCount="221">
  <si>
    <t>Dataset Name</t>
  </si>
  <si>
    <t>Format</t>
  </si>
  <si>
    <r>
      <t>Shapefile (</t>
    </r>
    <r>
      <rPr>
        <sz val="10"/>
        <color rgb="FF444746"/>
        <rFont val="Google Sans Text"/>
        <family val="2"/>
      </rPr>
      <t>.shp</t>
    </r>
    <r>
      <rPr>
        <sz val="11"/>
        <color rgb="FF1F1F1F"/>
        <rFont val="Arial"/>
        <family val="2"/>
      </rPr>
      <t>)</t>
    </r>
  </si>
  <si>
    <r>
      <t>GeoTIFF (</t>
    </r>
    <r>
      <rPr>
        <sz val="10"/>
        <color rgb="FF444746"/>
        <rFont val="Google Sans Text"/>
        <family val="2"/>
      </rPr>
      <t>.tif</t>
    </r>
    <r>
      <rPr>
        <sz val="11"/>
        <color rgb="FF1F1F1F"/>
        <rFont val="Arial"/>
        <family val="2"/>
      </rPr>
      <t>)</t>
    </r>
  </si>
  <si>
    <t>Climatic Classification</t>
  </si>
  <si>
    <t>Conflict Events</t>
  </si>
  <si>
    <r>
      <t>CSV (</t>
    </r>
    <r>
      <rPr>
        <sz val="10"/>
        <color rgb="FF444746"/>
        <rFont val="Google Sans Text"/>
        <family val="2"/>
      </rPr>
      <t>.csv</t>
    </r>
    <r>
      <rPr>
        <sz val="11"/>
        <color rgb="FF1F1F1F"/>
        <rFont val="Arial"/>
        <family val="2"/>
      </rPr>
      <t>)</t>
    </r>
  </si>
  <si>
    <t>Cyclone Hazard</t>
  </si>
  <si>
    <t>Diurnal Range (Temp)</t>
  </si>
  <si>
    <t>WorldClim BIO Variables</t>
  </si>
  <si>
    <t>Elevation</t>
  </si>
  <si>
    <t>Food Security</t>
  </si>
  <si>
    <t>Integrated Food Security Phase Classification (IPC)</t>
  </si>
  <si>
    <r>
      <t>GeoJSON (</t>
    </r>
    <r>
      <rPr>
        <sz val="10"/>
        <color rgb="FF444746"/>
        <rFont val="Google Sans Text"/>
        <family val="2"/>
      </rPr>
      <t>.geojson</t>
    </r>
    <r>
      <rPr>
        <sz val="11"/>
        <color rgb="FF1F1F1F"/>
        <rFont val="Arial"/>
        <family val="2"/>
      </rPr>
      <t>)</t>
    </r>
  </si>
  <si>
    <t>Hot Days (hd30)</t>
  </si>
  <si>
    <t>Relative Humidity (hurs)</t>
  </si>
  <si>
    <t>Electrification Status (IEP)</t>
  </si>
  <si>
    <r>
      <t>GeoPackage (</t>
    </r>
    <r>
      <rPr>
        <sz val="10"/>
        <color rgb="FF444746"/>
        <rFont val="Google Sans Text"/>
        <family val="2"/>
      </rPr>
      <t>.gpkg</t>
    </r>
    <r>
      <rPr>
        <sz val="11"/>
        <color rgb="FF1F1F1F"/>
        <rFont val="Arial"/>
        <family val="2"/>
      </rPr>
      <t>)</t>
    </r>
  </si>
  <si>
    <t>Livelihood Zones</t>
  </si>
  <si>
    <t>Mini-Grids</t>
  </si>
  <si>
    <t>MV Lines</t>
  </si>
  <si>
    <t>Nightlight</t>
  </si>
  <si>
    <t>VIIRS/NPP Visible Infrared Imaging Radiometer Suite</t>
  </si>
  <si>
    <t>Population</t>
  </si>
  <si>
    <t>Precipitation</t>
  </si>
  <si>
    <t>PV Output (pvout)</t>
  </si>
  <si>
    <t>Relative Wealth Index (rwi)</t>
  </si>
  <si>
    <t>Settlements</t>
  </si>
  <si>
    <t>GRID3 Settlement Extents</t>
  </si>
  <si>
    <t>Shoreline</t>
  </si>
  <si>
    <t>OpenStreetMap (OSM) Coastline</t>
  </si>
  <si>
    <t>Travel Times</t>
  </si>
  <si>
    <t>Temperature (Annual Avg)</t>
  </si>
  <si>
    <t>Water Occurance</t>
  </si>
  <si>
    <t>JRC Global Surface Water (GSW)</t>
  </si>
  <si>
    <t>Link for download</t>
  </si>
  <si>
    <t>Admin Boundaries</t>
  </si>
  <si>
    <t>#</t>
  </si>
  <si>
    <t>Name</t>
  </si>
  <si>
    <t>Source</t>
  </si>
  <si>
    <t>Coverage</t>
  </si>
  <si>
    <t>Administrative boundaries</t>
  </si>
  <si>
    <t>GADM</t>
  </si>
  <si>
    <t>Geopackage</t>
  </si>
  <si>
    <t>World</t>
  </si>
  <si>
    <t>Population clusters (settlement boundaries)</t>
  </si>
  <si>
    <t>GRID3 Madagascar - Settlement Extents v3.0</t>
  </si>
  <si>
    <t>Shapefile</t>
  </si>
  <si>
    <t>Sub-Saharan Africa</t>
  </si>
  <si>
    <t>Settlement names</t>
  </si>
  <si>
    <r>
      <t>Fresh Open Street Map export of features matching</t>
    </r>
    <r>
      <rPr>
        <sz val="9"/>
        <color rgb="FF888888"/>
        <rFont val="Source Sans Pro"/>
        <family val="2"/>
      </rPr>
      <t xml:space="preserve"> </t>
    </r>
    <r>
      <rPr>
        <sz val="9"/>
        <color theme="1"/>
        <rFont val="Arial"/>
        <family val="2"/>
      </rPr>
      <t>tags['place'] IN ('isolated_dwelling', 'town', 'village', 'hamlet', 'city')</t>
    </r>
  </si>
  <si>
    <t>Shapefile or CSV</t>
  </si>
  <si>
    <t>Building footprint</t>
  </si>
  <si>
    <t>Global Google-Microsoft Open Buildings Dataset - awesome-gee-community-catalog</t>
  </si>
  <si>
    <t>Geojson</t>
  </si>
  <si>
    <t>Household size (average urban, average rural)</t>
  </si>
  <si>
    <t>Country statistics such as national census, from National Institute of Statistics</t>
  </si>
  <si>
    <t>Non-geospatial</t>
  </si>
  <si>
    <t>Country</t>
  </si>
  <si>
    <t>Population counts</t>
  </si>
  <si>
    <t>WorldPop – Population Counts (R2024B V1)</t>
  </si>
  <si>
    <t>Raster: GeoTIFF ~ 100m</t>
  </si>
  <si>
    <t>Population growth rates (urban and rural)</t>
  </si>
  <si>
    <t>Major Cities</t>
  </si>
  <si>
    <t>World Cities Database | Simplemaps.com</t>
  </si>
  <si>
    <t>CSV</t>
  </si>
  <si>
    <t>Road network</t>
  </si>
  <si>
    <t>OSM extraction</t>
  </si>
  <si>
    <t>Airports</t>
  </si>
  <si>
    <t>Open Street Map (OSM) extraction</t>
  </si>
  <si>
    <t>Ports</t>
  </si>
  <si>
    <t>Railway stations</t>
  </si>
  <si>
    <t>Medium Voltage (MV) power lines</t>
  </si>
  <si>
    <t>Madagascar Integrated Energy Plan (IEP)</t>
  </si>
  <si>
    <t>Shorelines</t>
  </si>
  <si>
    <t>NOAA Global Self-consistent Hierarchical High-resolution Shorelines</t>
  </si>
  <si>
    <t>Water frequency</t>
  </si>
  <si>
    <t>JRC Global Surface Water Mapping Layers, v1.4</t>
  </si>
  <si>
    <t>https://global-surface-water.appspot.com/download</t>
  </si>
  <si>
    <t>Multiple TIFF, 10m</t>
  </si>
  <si>
    <t>Water table depth</t>
  </si>
  <si>
    <t>GLOBGM v1.0 global-scale groundwater model - awesome-gee-community-catalog</t>
  </si>
  <si>
    <t>TIFF, 1 km</t>
  </si>
  <si>
    <t>Climate Moisture Deficit (CMD)</t>
  </si>
  <si>
    <t>ClimateAF - Current, historical and projected climate data for Africa</t>
  </si>
  <si>
    <t>Current: SSP2-2020s projection</t>
  </si>
  <si>
    <t>Future: SSP2-2050s projection</t>
  </si>
  <si>
    <t>GeoTIFF, 30 km resolution</t>
  </si>
  <si>
    <t>Africa</t>
  </si>
  <si>
    <t>Climate zone</t>
  </si>
  <si>
    <t>High-resolution (1 km) Köppen-Geiger maps for 1901–2099 based on constrained CMIP6 projections</t>
  </si>
  <si>
    <t>Current climate:  1991_2020\koppen_geiger_0p1.tif</t>
  </si>
  <si>
    <t>Future climate: 2071_2099\ssp245\koppen_geiger_0p1.tif</t>
  </si>
  <si>
    <t>GeoTIFF</t>
  </si>
  <si>
    <t>Drought risk (future deviation)</t>
  </si>
  <si>
    <r>
      <t>World Bank – Climate Change Knowledge Portal Data Collections on AWS</t>
    </r>
    <r>
      <rPr>
        <u/>
        <sz val="9"/>
        <color rgb="FF13A6BF"/>
        <rFont val="Arial"/>
        <family val="2"/>
      </rPr>
      <t xml:space="preserve"> </t>
    </r>
    <r>
      <rPr>
        <sz val="9"/>
        <color theme="1"/>
        <rFont val="Arial"/>
        <family val="2"/>
      </rPr>
      <t>(indicator: The annual Standardized Precipitation Evapotranspiration Index (SPEI) | code: “spei12”)</t>
    </r>
    <r>
      <rPr>
        <sz val="8"/>
        <color theme="1"/>
        <rFont val="Arial"/>
        <family val="2"/>
      </rPr>
      <t>https://wbg-cckp.s3.amazonaws.com/data/cmip6-x0.25/spei12/ensemble-all-ssp245/climatology-spei12-annual-mean_cmip6-x0.25_ensemble-all-ssp245_climatology_median_2020-2039.nc</t>
    </r>
  </si>
  <si>
    <t>NetCDF files</t>
  </si>
  <si>
    <t>Flood risk</t>
  </si>
  <si>
    <t>World Bank’s Global Flood Exposure data</t>
  </si>
  <si>
    <t>Raster. GeoTIFF raster (.tif), at a spatial resolution of 3 arc-seconds (approximately 100m at the equator)</t>
  </si>
  <si>
    <t>Cyclone hazard</t>
  </si>
  <si>
    <t>GAR15 Tropical Cyclonic Wind and Storm Surge hazard from UNDRR</t>
  </si>
  <si>
    <t>Global model of cyclone wind 50, 100, 250, 500 and 1000 years return period | Humanitarian Dataset | HDX</t>
  </si>
  <si>
    <t>Raster. GeoTIFF raster (.tif), at a spatial resolution of 2.5 km</t>
  </si>
  <si>
    <t>Cropland extent</t>
  </si>
  <si>
    <t>GLAD (Potapov et al.), 2016-2019</t>
  </si>
  <si>
    <t>GeoTIFF. Pixel size is 0.00025 × 0.00025 degree (~30 m × 30 m at Equator)</t>
  </si>
  <si>
    <t>Crop production / physical area</t>
  </si>
  <si>
    <t>SPAM Global Spatially-Disaggregated Crop Production Statistics Data for 2020 Version 1.0 - IFPRI HarvestChoice Dataverse (harvard.edu)</t>
  </si>
  <si>
    <t>Raster. GeoTIFF raster (.tif), at a spatial resolution of 10x10km</t>
  </si>
  <si>
    <t>USGS EROS Archive - Digital Elevation - Shuttle Radar Topography Mission (SRTM) 1 Arc-Second Global | U.S. Geological Survey</t>
  </si>
  <si>
    <t>Food insecurity</t>
  </si>
  <si>
    <t>IPC Country Analysis | IPC - Integrated Food Security Phase Classification</t>
  </si>
  <si>
    <t>Selected countries</t>
  </si>
  <si>
    <t>High Resolution Electricity Access (HREA)</t>
  </si>
  <si>
    <t>https://hrea.isr.umich.edu/data.html</t>
  </si>
  <si>
    <t>Raster. GeoTIFF raster (.tif), at a spatial resolution of 1 to 15 arcsec</t>
  </si>
  <si>
    <t>115 countries by World Bank</t>
  </si>
  <si>
    <t>Livelihood zones</t>
  </si>
  <si>
    <t>FEWS</t>
  </si>
  <si>
    <t>54 developing countries</t>
  </si>
  <si>
    <t>Livestock density</t>
  </si>
  <si>
    <t>GLW 4: Gridded Livestock Density (Global - 2020 - 10 km) - Datasets - "FAO catalog"</t>
  </si>
  <si>
    <t>Raster. GeoTIFF raster (.tif), at a spatial resolution of 3 arc-seconds (approximately 10 km at the equator)</t>
  </si>
  <si>
    <t>Number of Hot Days (Tmax &gt;= 30°C)</t>
  </si>
  <si>
    <t>World Bank – Climate Change Knowledge Portal Data Collections on AWS (indicator code: “hd30”)</t>
  </si>
  <si>
    <t>NetCDF file</t>
  </si>
  <si>
    <t>Air temperature</t>
  </si>
  <si>
    <r>
      <t>SolarGIS</t>
    </r>
    <r>
      <rPr>
        <u/>
        <sz val="9"/>
        <color rgb="FF13A6BF"/>
        <rFont val="Arial"/>
        <family val="2"/>
      </rPr>
      <t xml:space="preserve"> (ERA5) </t>
    </r>
    <r>
      <rPr>
        <sz val="10"/>
        <color theme="1"/>
        <rFont val="Arial"/>
        <family val="2"/>
      </rPr>
      <t xml:space="preserve">or </t>
    </r>
    <r>
      <rPr>
        <sz val="8"/>
        <color theme="1"/>
        <rFont val="Arial"/>
        <family val="2"/>
      </rPr>
      <t>WorldClim V1 Bioclim, University of California, Berkeley</t>
    </r>
  </si>
  <si>
    <t>Specific solar photovoltaic (PV) output</t>
  </si>
  <si>
    <t>Global Solar Atlas</t>
  </si>
  <si>
    <t>Precipitation Africa</t>
  </si>
  <si>
    <r>
      <t>Future:</t>
    </r>
    <r>
      <rPr>
        <sz val="9"/>
        <color rgb="FF444444"/>
        <rFont val="Arial"/>
        <family val="2"/>
      </rPr>
      <t xml:space="preserve"> </t>
    </r>
    <r>
      <rPr>
        <sz val="9"/>
        <color theme="1"/>
        <rFont val="Arial"/>
        <family val="2"/>
      </rPr>
      <t>SSP2-2050s projection</t>
    </r>
  </si>
  <si>
    <t>GeoTIFF, 1km resolution</t>
  </si>
  <si>
    <t>Precipitation World</t>
  </si>
  <si>
    <t>World Bank – Climate Change Knowledge Portal Data Collections on AWS (indicator code: “pr”)</t>
  </si>
  <si>
    <t>NetCDF file, 30 km resolution</t>
  </si>
  <si>
    <t>Precipitation change 2020-2039 World</t>
  </si>
  <si>
    <t>World Bank – Climate Change Knowledge Portal Data Collections on AWS (indicator code: “prpercnt”)</t>
  </si>
  <si>
    <t>Relative Humidity</t>
  </si>
  <si>
    <t>World Bank – Climate Change Knowledge Portal Data Collections on AWS (indicator code: “hurs”)</t>
  </si>
  <si>
    <t>Relative Wealth Index (RWI)</t>
  </si>
  <si>
    <t>Data For Good at Meta Relative Wealth Index (facebook.com)</t>
  </si>
  <si>
    <t>CSV, 2.4km resolution</t>
  </si>
  <si>
    <t>93 low and middle-income countries</t>
  </si>
  <si>
    <t>Satellite nightlights</t>
  </si>
  <si>
    <t>EOG Annual VNL v2.2, Masked median radiance, latest full year available</t>
  </si>
  <si>
    <t>Security risk (conflicts)</t>
  </si>
  <si>
    <t>ACLED</t>
  </si>
  <si>
    <t>Sub-national poverty rates</t>
  </si>
  <si>
    <t>Global Subnational Poverty Atlas (GSAP) | Data Catalog (worldbank.org)</t>
  </si>
  <si>
    <t>Fishing community statistics</t>
  </si>
  <si>
    <t>INSTAT / MPEB – 2023 Fishing Census</t>
  </si>
  <si>
    <t>STAT files</t>
  </si>
  <si>
    <t>https://data.humdata.org/dataset/?dataseries_name=COD+-+Subnational+Administrative+Boundaries</t>
  </si>
  <si>
    <t>Aridity Index</t>
  </si>
  <si>
    <t>OCHA</t>
  </si>
  <si>
    <t>Several low and middle-income countries</t>
  </si>
  <si>
    <t>Admin Boundaries (alternative)</t>
  </si>
  <si>
    <t>https://gadm.org/download_country.html</t>
  </si>
  <si>
    <t>GeoPackage (.gpkg)</t>
  </si>
  <si>
    <t>Most countries</t>
  </si>
  <si>
    <t>Global Aridity Index and Potential Evapo-Transpiration (ET0) Database v3</t>
  </si>
  <si>
    <t>https://gee-community-catalog.org/projects/ai0/#paper-citation</t>
  </si>
  <si>
    <t>Download Global-AI_ET0_v3_annual version; clip global dataset by admin0 boundary</t>
  </si>
  <si>
    <t>https://www.gloh2o.org/koppen/</t>
  </si>
  <si>
    <t>Köppen-Geiger Maps</t>
  </si>
  <si>
    <t>Isolate the 1991_2020\koppen_geiger_0p00833333 file; clip global dataset by admin0 boundary</t>
  </si>
  <si>
    <t>https://acleddata.com/conflict-data/data-export-tool</t>
  </si>
  <si>
    <t>Download and pre-processing needs</t>
  </si>
  <si>
    <t>Register for free -&gt; Data Export Tool -&gt; set date range = last 2 years, location = country of interest, leave the rest as default -&gt; download</t>
  </si>
  <si>
    <t>Cropland Extent</t>
  </si>
  <si>
    <t>Straight save in raw data structure</t>
  </si>
  <si>
    <t>Not publicly available</t>
  </si>
  <si>
    <t>Link/Source</t>
  </si>
  <si>
    <t>Global cropland expansion in the 21st century (GLAD / Potapov)</t>
  </si>
  <si>
    <t>UNDRR Global Assessment Report (GAR)'s Global model of cyclone wind 50, 100, 250, 500 and 1000 years return period</t>
  </si>
  <si>
    <t>https://www.worldclim.org/data/worldclim21.html</t>
  </si>
  <si>
    <t>https://data.humdata.org/dataset/cyclone-wind-100-years-return-period?</t>
  </si>
  <si>
    <t>https://glad.umd.edu/dataset/croplands</t>
  </si>
  <si>
    <t>https://gee-community-catalog.org/projects/glo30/</t>
  </si>
  <si>
    <t>Copernicus Digital Elevation Model (GLO-30 DEM)</t>
  </si>
  <si>
    <t>WorldClim BIO Clim Variables</t>
  </si>
  <si>
    <t>Selected food-insecure countries</t>
  </si>
  <si>
    <t>Country-specific</t>
  </si>
  <si>
    <t>For more accurate results, subtract rice fields data (https://zenodo.org/records/13729353) or any othe dominant non-perishable crop from the cropland extent dataset</t>
  </si>
  <si>
    <t>Medium Voltage (MV) Electrical Lines from Government stakeholders</t>
  </si>
  <si>
    <t>Mini-grid location from Government stakeholders</t>
  </si>
  <si>
    <t>Any vector format</t>
  </si>
  <si>
    <t>Depending on country</t>
  </si>
  <si>
    <t>https://www.ipcinfo.org/ipc-country-analysis/ipc-mapping-tool/</t>
  </si>
  <si>
    <t>Click on the country on the map -&gt; select the latest Acute Food Insecurity Analysis -&gt; download GIS format</t>
  </si>
  <si>
    <t>Google Earth Engine script provided [TO BE PROVIDED]</t>
  </si>
  <si>
    <t>Calculation based on ERA5-Land Daily Aggregated</t>
  </si>
  <si>
    <t>https://developers.google.com/earth-engine/datasets/catalog/ECMWF_ERA5_LAND_DAILY_AGGR</t>
  </si>
  <si>
    <t>Download the whole 10 Gb "bio 30s" zipped file from the link provided or use Google Earth Engine to download only the required variable and for the required geography https://developers.google.com/earth-engine/datasets/catalog/WORLDCLIM_V1_BIO [GEE CODE TO BE PROVIDED]</t>
  </si>
  <si>
    <t>https://wbg-cckp.s3.amazonaws.com/data/cmip6-x0.25/hd30/ensemble-all-historical/climatology-hd30-annual-mean_cmip6-x0.25_ensemble-all-historical_climatology_median_1995-2014.nc</t>
  </si>
  <si>
    <t>Convert .nc file into raster TIF file</t>
  </si>
  <si>
    <t>https://fews.net/data/livelihood-zones</t>
  </si>
  <si>
    <t>FEWS NETLivelihood Zones</t>
  </si>
  <si>
    <t>CIMIP6 from World Bank Climate Change Knowledge Portal (CCKP)</t>
  </si>
  <si>
    <t>Either download from Google Earth Engine (CODE TO BE PROVIDED) or download the  NASA (SRTM 1 Arc-Second Global) using the SRTM Downloader Plugin within QGIS</t>
  </si>
  <si>
    <t>https://eogdata.mines.edu/products/vnl/.</t>
  </si>
  <si>
    <t>Download the latest available Monthly Cloud-free DNB Composite, Median.</t>
  </si>
  <si>
    <t>Meta's Relative Wealth Index Map</t>
  </si>
  <si>
    <t>https://data.humdata.org/dataset/relative-wealth-index?fbclid=IwZXh0bgNhZW0CMTEAYnJpZBExMHp4QTY3ellmaFg2c0dER3NydGMGYXBwX2lkATAAAR5CYAQfvmSSPSh2JLrDT8sebiJEC1jmH-9_HB05sAcSi8fQx947oY87GUzyig_aem_l0P1tM-UMYF3heZ2Fp419A</t>
  </si>
  <si>
    <t>Customized population clusters can be used with a few tweaks on the code</t>
  </si>
  <si>
    <t>https://data.grid3.org/search?tags=settlements</t>
  </si>
  <si>
    <t>https://osmdata.openstreetmap.de/data/coastlines.html</t>
  </si>
  <si>
    <t>To download only the specific country's coastlines, use the QuickOSM Plugin within QGIS</t>
  </si>
  <si>
    <t>Global Solar Atlas's Specific solar photovoltaic (PV) output</t>
  </si>
  <si>
    <t>https://globalsolaratlas.info/download</t>
  </si>
  <si>
    <t>Generated by the auxiliary tool provided, starting from CSV files (one for each POI, having only 2 columns: X_COORD, Y_COORD). Based on https://malariaatlas.org/project-resources/accessibility-to-healthcare/</t>
  </si>
  <si>
    <t>https://malariaatlas.org/project-resources/accessibility-to-healthcare/</t>
  </si>
  <si>
    <t>Travel times to Airports, Ports, Capital, Cities, Railways</t>
  </si>
  <si>
    <t>Global Solar Atlas's Mean Temperature</t>
  </si>
  <si>
    <t>https://developers.google.com/earth-engine/datasets/catalog/JRC_GSW1_4_GlobalSurfaceWater</t>
  </si>
  <si>
    <t>Google Earth Engine to download only the required variable and for the required geography [GEE CODE TO BE PROVIDED]</t>
  </si>
  <si>
    <t>Integrated Electrification Planning Results, from Government stakeholders</t>
  </si>
  <si>
    <t>https://hub.worldpop.org/geodata/listing?id=100</t>
  </si>
  <si>
    <t>WorldPop's constrained Individual Countries 2015-2030 100m resolution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</si>
</sst>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3">
    <font>
      <sz val="11"/>
      <color theme="1"/>
      <name val="Aptos Narrow"/>
      <family val="2"/>
      <scheme val="minor"/>
    </font>
    <font>
      <sz val="11"/>
      <color rgb="FF1F1F1F"/>
      <name val="Arial"/>
      <family val="2"/>
    </font>
    <font>
      <b/>
      <sz val="11"/>
      <color rgb="FF1F1F1F"/>
      <name val="Arial"/>
      <family val="2"/>
    </font>
    <font>
      <sz val="10"/>
      <color rgb="FF444746"/>
      <name val="Google Sans Text"/>
      <family val="2"/>
    </font>
    <font>
      <sz val="11"/>
      <color theme="1"/>
      <name val="Arial"/>
      <family val="2"/>
    </font>
    <font>
      <sz val="10"/>
      <color theme="1"/>
      <name val="Arial"/>
      <family val="2"/>
    </font>
    <font>
      <b/>
      <sz val="9"/>
      <color theme="1"/>
      <name val="Arial"/>
      <family val="2"/>
    </font>
    <font>
      <sz val="9"/>
      <color theme="1"/>
      <name val="Arial"/>
      <family val="2"/>
    </font>
    <font>
      <sz val="9"/>
      <color rgb="FF888888"/>
      <name val="Source Sans Pro"/>
      <family val="2"/>
    </font>
    <font>
      <u/>
      <sz val="9"/>
      <color rgb="FF13A6BF"/>
      <name val="Arial"/>
      <family val="2"/>
    </font>
    <font>
      <sz val="8"/>
      <color theme="1"/>
      <name val="Arial"/>
      <family val="2"/>
    </font>
    <font>
      <sz val="9"/>
      <color rgb="FF444444"/>
      <name val="Arial"/>
      <family val="2"/>
    </font>
    <font>
      <u/>
      <sz val="11"/>
      <color theme="10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8">
    <border>
      <left/>
      <right/>
      <top/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</borders>
  <cellStyleXfs count="2">
    <xf numFmtId="0" fontId="0" fillId="0" borderId="0"/>
    <xf numFmtId="0" fontId="12" fillId="0" borderId="0" applyNumberFormat="0" applyFill="0" applyBorder="0" applyAlignment="0" applyProtection="0"/>
  </cellStyleXfs>
  <cellXfs count="18">
    <xf numFmtId="0" fontId="0" fillId="0" borderId="0" xfId="0"/>
    <xf numFmtId="0" fontId="2" fillId="0" borderId="0" xfId="0" applyFont="1" applyAlignment="1">
      <alignment vertical="center" wrapText="1" readingOrder="1"/>
    </xf>
    <xf numFmtId="0" fontId="1" fillId="0" borderId="0" xfId="0" applyFont="1" applyAlignment="1">
      <alignment vertical="center" wrapText="1" readingOrder="1"/>
    </xf>
    <xf numFmtId="0" fontId="4" fillId="0" borderId="0" xfId="0" applyFont="1" applyAlignment="1">
      <alignment vertical="center"/>
    </xf>
    <xf numFmtId="0" fontId="6" fillId="0" borderId="1" xfId="0" applyFont="1" applyBorder="1" applyAlignment="1">
      <alignment horizontal="left" vertical="center" wrapText="1"/>
    </xf>
    <xf numFmtId="0" fontId="6" fillId="0" borderId="2" xfId="0" applyFont="1" applyBorder="1" applyAlignment="1">
      <alignment horizontal="center" vertical="center" wrapText="1"/>
    </xf>
    <xf numFmtId="0" fontId="7" fillId="0" borderId="3" xfId="0" applyFont="1" applyBorder="1" applyAlignment="1">
      <alignment horizontal="left" vertical="center" wrapText="1"/>
    </xf>
    <xf numFmtId="0" fontId="7" fillId="0" borderId="4" xfId="0" applyFont="1" applyBorder="1" applyAlignment="1">
      <alignment horizontal="left" vertical="center" wrapText="1"/>
    </xf>
    <xf numFmtId="0" fontId="12" fillId="0" borderId="4" xfId="1" applyBorder="1" applyAlignment="1">
      <alignment horizontal="left" vertical="center" wrapText="1"/>
    </xf>
    <xf numFmtId="0" fontId="7" fillId="0" borderId="6" xfId="0" applyFont="1" applyBorder="1" applyAlignment="1">
      <alignment horizontal="left" vertical="center" wrapText="1"/>
    </xf>
    <xf numFmtId="0" fontId="12" fillId="0" borderId="6" xfId="1" applyBorder="1" applyAlignment="1">
      <alignment horizontal="left" vertical="center" wrapText="1"/>
    </xf>
    <xf numFmtId="0" fontId="12" fillId="0" borderId="0" xfId="1"/>
    <xf numFmtId="0" fontId="12" fillId="0" borderId="0" xfId="1" applyAlignment="1">
      <alignment vertical="center" wrapText="1" readingOrder="1"/>
    </xf>
    <xf numFmtId="0" fontId="7" fillId="0" borderId="7" xfId="0" applyFont="1" applyBorder="1" applyAlignment="1">
      <alignment horizontal="left" vertical="center" wrapText="1"/>
    </xf>
    <xf numFmtId="0" fontId="7" fillId="0" borderId="3" xfId="0" applyFont="1" applyBorder="1" applyAlignment="1">
      <alignment horizontal="left" vertical="center" wrapText="1"/>
    </xf>
    <xf numFmtId="0" fontId="12" fillId="0" borderId="7" xfId="1" applyBorder="1" applyAlignment="1">
      <alignment horizontal="left" vertical="center" wrapText="1"/>
    </xf>
    <xf numFmtId="0" fontId="12" fillId="0" borderId="3" xfId="1" applyBorder="1" applyAlignment="1">
      <alignment horizontal="left" vertical="center" wrapText="1"/>
    </xf>
    <xf numFmtId="0" fontId="7" fillId="0" borderId="5" xfId="0" applyFont="1" applyBorder="1" applyAlignment="1">
      <alignment horizontal="left" vertical="center" wrapText="1"/>
    </xf>
  </cellXfs>
  <cellStyles count="2">
    <cellStyle name="Hyperlink" xfId="1" builtinId="8"/>
    <cellStyle name="Normal" xfId="0" builtinId="0"/>
  </cellStyles>
  <dxfs count="8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1F1F1F"/>
        <name val="Arial"/>
        <family val="2"/>
        <scheme val="none"/>
      </font>
      <alignment horizontal="general" vertical="center" textRotation="0" wrapText="1" indent="0" justifyLastLine="0" shrinkToFit="0" readingOrder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1F1F1F"/>
        <name val="Arial"/>
        <family val="2"/>
        <scheme val="none"/>
      </font>
      <alignment horizontal="general" vertical="center" textRotation="0" wrapText="1" indent="0" justifyLastLine="0" shrinkToFit="0" readingOrder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1F1F1F"/>
        <name val="Arial"/>
        <family val="2"/>
        <scheme val="none"/>
      </font>
      <alignment horizontal="general" vertical="center" textRotation="0" wrapText="1" indent="0" justifyLastLine="0" shrinkToFit="0" readingOrder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1F1F1F"/>
        <name val="Arial"/>
        <family val="2"/>
        <scheme val="none"/>
      </font>
      <alignment horizontal="general" vertical="center" textRotation="0" wrapText="1" indent="0" justifyLastLine="0" shrinkToFit="0" readingOrder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444746"/>
        <name val="Google Sans Text"/>
        <family val="2"/>
        <scheme val="none"/>
      </font>
      <alignment horizontal="general" vertical="center" textRotation="0" wrapText="1" indent="0" justifyLastLine="0" shrinkToFit="0" readingOrder="1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1F1F1F"/>
        <name val="Arial"/>
        <family val="2"/>
        <scheme val="none"/>
      </font>
      <alignment horizontal="general" vertical="center" textRotation="0" wrapText="1" indent="0" justifyLastLine="0" shrinkToFit="0" readingOrder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1F1F1F"/>
        <name val="Arial"/>
        <family val="2"/>
        <scheme val="none"/>
      </font>
      <alignment horizontal="general" vertical="center" textRotation="0" wrapText="1" indent="0" justifyLastLine="0" shrinkToFit="0" readingOrder="1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1F1F1F"/>
        <name val="Arial"/>
        <family val="2"/>
        <scheme val="none"/>
      </font>
      <alignment horizontal="general" vertical="center" textRotation="0" wrapText="1" indent="0" justifyLastLine="0" shrinkToFit="0" readingOrder="1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ustomXml" Target="../customXml/item1.xml"/><Relationship Id="rId3" Type="http://schemas.openxmlformats.org/officeDocument/2006/relationships/theme" Target="theme/theme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microsoft.com/office/2017/10/relationships/person" Target="persons/person.xml"/><Relationship Id="rId5" Type="http://schemas.openxmlformats.org/officeDocument/2006/relationships/sharedStrings" Target="sharedStrings.xml"/><Relationship Id="rId10" Type="http://schemas.openxmlformats.org/officeDocument/2006/relationships/customXml" Target="../customXml/item3.xml"/><Relationship Id="rId4" Type="http://schemas.openxmlformats.org/officeDocument/2006/relationships/styles" Target="styles.xml"/><Relationship Id="rId9" Type="http://schemas.openxmlformats.org/officeDocument/2006/relationships/customXml" Target="../customXml/item2.xml"/></Relationships>
</file>

<file path=xl/persons/person.xml><?xml version="1.0" encoding="utf-8"?>
<personList xmlns="http://schemas.microsoft.com/office/spreadsheetml/2018/threadedcomments" xmlns:x="http://schemas.openxmlformats.org/spreadsheetml/2006/main"/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79079781-8FE5-4755-92DC-07F4A9BDCE4B}" name="Table1" displayName="Table1" ref="A1:G27" totalsRowShown="0" headerRowDxfId="7" dataDxfId="6">
  <autoFilter ref="A1:G27" xr:uid="{79079781-8FE5-4755-92DC-07F4A9BDCE4B}"/>
  <tableColumns count="7">
    <tableColumn id="1" xr3:uid="{E13F611F-BD1C-498D-B9CD-DB0AD15C6ED0}" name="Dataset Name" dataDxfId="5"/>
    <tableColumn id="2" xr3:uid="{A42481F1-84D0-45F0-BA71-2CA85212CA81}" name="Link for download" dataDxfId="4"/>
    <tableColumn id="3" xr3:uid="{25621E37-C066-4D09-A3CB-8B51BD43C131}" name="Source" dataDxfId="3"/>
    <tableColumn id="4" xr3:uid="{28AEA9BB-3F45-4A84-9C3B-2A001B36AF5C}" name="Format" dataDxfId="2"/>
    <tableColumn id="5" xr3:uid="{EA21E45D-9AA9-4EC5-A06E-41985B11D354}" name="Coverage" dataDxfId="1"/>
    <tableColumn id="6" xr3:uid="{C34F61CF-2EB2-4C3E-AB7D-104707C4DE03}" name="Link/Source">
      <calculatedColumnFormula>_xlfn.CONCAT("[",C2,"](",B2,")")</calculatedColumnFormula>
    </tableColumn>
    <tableColumn id="7" xr3:uid="{A5CDD107-F848-4BCE-A508-45890C826E54}" name="Download and pre-processing needs" dataDxfId="0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8" Type="http://schemas.openxmlformats.org/officeDocument/2006/relationships/hyperlink" Target="https://www.worldclim.org/data/worldclim21.html" TargetMode="External"/><Relationship Id="rId13" Type="http://schemas.openxmlformats.org/officeDocument/2006/relationships/hyperlink" Target="https://fews.net/data/livelihood-zones" TargetMode="External"/><Relationship Id="rId18" Type="http://schemas.openxmlformats.org/officeDocument/2006/relationships/hyperlink" Target="https://globalsolaratlas.info/download" TargetMode="External"/><Relationship Id="rId3" Type="http://schemas.openxmlformats.org/officeDocument/2006/relationships/hyperlink" Target="https://gee-community-catalog.org/projects/ai0/" TargetMode="External"/><Relationship Id="rId21" Type="http://schemas.openxmlformats.org/officeDocument/2006/relationships/hyperlink" Target="https://developers.google.com/earth-engine/datasets/catalog/JRC_GSW1_4_GlobalSurfaceWater" TargetMode="External"/><Relationship Id="rId7" Type="http://schemas.openxmlformats.org/officeDocument/2006/relationships/hyperlink" Target="https://data.humdata.org/dataset/cyclone-wind-100-years-return-period?" TargetMode="External"/><Relationship Id="rId12" Type="http://schemas.openxmlformats.org/officeDocument/2006/relationships/hyperlink" Target="https://wbg-cckp.s3.amazonaws.com/data/cmip6-x0.25/hd30/ensemble-all-historical/climatology-hd30-annual-mean_cmip6-x0.25_ensemble-all-historical_climatology_median_1995-2014.nc" TargetMode="External"/><Relationship Id="rId17" Type="http://schemas.openxmlformats.org/officeDocument/2006/relationships/hyperlink" Target="https://osmdata.openstreetmap.de/data/coastlines.html" TargetMode="External"/><Relationship Id="rId2" Type="http://schemas.openxmlformats.org/officeDocument/2006/relationships/hyperlink" Target="https://gadm.org/download_country.html" TargetMode="External"/><Relationship Id="rId16" Type="http://schemas.openxmlformats.org/officeDocument/2006/relationships/hyperlink" Target="https://data.grid3.org/search?tags=settlements" TargetMode="External"/><Relationship Id="rId20" Type="http://schemas.openxmlformats.org/officeDocument/2006/relationships/hyperlink" Target="https://globalsolaratlas.info/download" TargetMode="External"/><Relationship Id="rId1" Type="http://schemas.openxmlformats.org/officeDocument/2006/relationships/hyperlink" Target="https://data.humdata.org/dataset/?dataseries_name=COD+-+Subnational+Administrative+Boundaries" TargetMode="External"/><Relationship Id="rId6" Type="http://schemas.openxmlformats.org/officeDocument/2006/relationships/hyperlink" Target="https://glad.umd.edu/dataset/croplands" TargetMode="External"/><Relationship Id="rId11" Type="http://schemas.openxmlformats.org/officeDocument/2006/relationships/hyperlink" Target="https://developers.google.com/earth-engine/datasets/catalog/ECMWF_ERA5_LAND_DAILY_AGGR" TargetMode="External"/><Relationship Id="rId24" Type="http://schemas.openxmlformats.org/officeDocument/2006/relationships/table" Target="../tables/table1.xml"/><Relationship Id="rId5" Type="http://schemas.openxmlformats.org/officeDocument/2006/relationships/hyperlink" Target="https://acleddata.com/conflict-data/data-export-tool" TargetMode="External"/><Relationship Id="rId15" Type="http://schemas.openxmlformats.org/officeDocument/2006/relationships/hyperlink" Target="https://data.humdata.org/dataset/relative-wealth-index?fbclid=IwZXh0bgNhZW0CMTEAYnJpZBExMHp4QTY3ellmaFg2c0dER3NydGMGYXBwX2lkATAAAR5CYAQfvmSSPSh2JLrDT8sebiJEC1jmH-9_HB05sAcSi8fQx947oY87GUzyig_aem_l0P1tM-UMYF3heZ2Fp419A" TargetMode="External"/><Relationship Id="rId23" Type="http://schemas.openxmlformats.org/officeDocument/2006/relationships/hyperlink" Target="https://hub.worldpop.org/geodata/listing?id=100" TargetMode="External"/><Relationship Id="rId10" Type="http://schemas.openxmlformats.org/officeDocument/2006/relationships/hyperlink" Target="https://www.ipcinfo.org/ipc-country-analysis/ipc-mapping-tool/" TargetMode="External"/><Relationship Id="rId19" Type="http://schemas.openxmlformats.org/officeDocument/2006/relationships/hyperlink" Target="https://malariaatlas.org/project-resources/accessibility-to-healthcare/" TargetMode="External"/><Relationship Id="rId4" Type="http://schemas.openxmlformats.org/officeDocument/2006/relationships/hyperlink" Target="https://www.gloh2o.org/koppen/" TargetMode="External"/><Relationship Id="rId9" Type="http://schemas.openxmlformats.org/officeDocument/2006/relationships/hyperlink" Target="https://gee-community-catalog.org/projects/glo30/" TargetMode="External"/><Relationship Id="rId14" Type="http://schemas.openxmlformats.org/officeDocument/2006/relationships/hyperlink" Target="https://eogdata.mines.edu/products/vnl/" TargetMode="External"/><Relationship Id="rId22" Type="http://schemas.openxmlformats.org/officeDocument/2006/relationships/hyperlink" Target="https://www.worldclim.org/data/worldclim21.html" TargetMode="External"/></Relationships>
</file>

<file path=xl/worksheets/_rels/sheet2.xml.rels><?xml version="1.0" encoding="UTF-8" standalone="yes"?>
<Relationships xmlns="http://schemas.openxmlformats.org/package/2006/relationships"><Relationship Id="rId13" Type="http://schemas.openxmlformats.org/officeDocument/2006/relationships/hyperlink" Target="https://datacatalog.worldbank.org/search/dataset/0062763/Global-Flood-Exposure--Gridded-exposure-headcounts-by-country" TargetMode="External"/><Relationship Id="rId18" Type="http://schemas.openxmlformats.org/officeDocument/2006/relationships/hyperlink" Target="https://www.usgs.gov/centers/eros/science/usgs-eros-archive-digital-elevation-shuttle-radar-topography-mission-srtm-1?qt-science_center_objects=0" TargetMode="External"/><Relationship Id="rId26" Type="http://schemas.openxmlformats.org/officeDocument/2006/relationships/hyperlink" Target="https://sites.ualberta.ca/~ahamann/data/climateaf.html" TargetMode="External"/><Relationship Id="rId3" Type="http://schemas.openxmlformats.org/officeDocument/2006/relationships/hyperlink" Target="https://gee-community-catalog.org/projects/global_buildings/" TargetMode="External"/><Relationship Id="rId21" Type="http://schemas.openxmlformats.org/officeDocument/2006/relationships/hyperlink" Target="https://data.worldbank.org/indicator/EG.ELC.ACCS.ZS" TargetMode="External"/><Relationship Id="rId7" Type="http://schemas.openxmlformats.org/officeDocument/2006/relationships/hyperlink" Target="https://www.ngdc.noaa.gov/mgg/shorelines/data/gshhg/latest/" TargetMode="External"/><Relationship Id="rId12" Type="http://schemas.openxmlformats.org/officeDocument/2006/relationships/hyperlink" Target="https://www.gloh2o.org/koppen/" TargetMode="External"/><Relationship Id="rId17" Type="http://schemas.openxmlformats.org/officeDocument/2006/relationships/hyperlink" Target="https://dataverse.harvard.edu/dataset.xhtml?persistentId=doi:10.7910/DVN/SWPENT" TargetMode="External"/><Relationship Id="rId25" Type="http://schemas.openxmlformats.org/officeDocument/2006/relationships/hyperlink" Target="https://globalsolaratlas.info/map" TargetMode="External"/><Relationship Id="rId33" Type="http://schemas.openxmlformats.org/officeDocument/2006/relationships/hyperlink" Target="https://www.instat.mg/p/mpeb-mise-a-jour-de-lenquete-cadre-nationale-2012-2013-sur-la-petite-peche-maritime-et-la-peche-continentale-2023" TargetMode="External"/><Relationship Id="rId2" Type="http://schemas.openxmlformats.org/officeDocument/2006/relationships/hyperlink" Target="https://data.grid3.org/search?tags=MDG" TargetMode="External"/><Relationship Id="rId16" Type="http://schemas.openxmlformats.org/officeDocument/2006/relationships/hyperlink" Target="https://glad.umd.edu/dataset/croplands" TargetMode="External"/><Relationship Id="rId20" Type="http://schemas.openxmlformats.org/officeDocument/2006/relationships/hyperlink" Target="https://hrea.isr.umich.edu/data.html" TargetMode="External"/><Relationship Id="rId29" Type="http://schemas.openxmlformats.org/officeDocument/2006/relationships/hyperlink" Target="https://dataforgood.facebook.com/dfg/tools/relative-wealth-index" TargetMode="External"/><Relationship Id="rId1" Type="http://schemas.openxmlformats.org/officeDocument/2006/relationships/hyperlink" Target="https://gadm.org/" TargetMode="External"/><Relationship Id="rId6" Type="http://schemas.openxmlformats.org/officeDocument/2006/relationships/hyperlink" Target="https://madagascar.sdg7energyplanning.org/wiki/madagascar-iep-tool-metadata/" TargetMode="External"/><Relationship Id="rId11" Type="http://schemas.openxmlformats.org/officeDocument/2006/relationships/hyperlink" Target="https://sites.ualberta.ca/~ahamann/data/climateaf.html" TargetMode="External"/><Relationship Id="rId24" Type="http://schemas.openxmlformats.org/officeDocument/2006/relationships/hyperlink" Target="https://worldbank.github.io/climateknowledgeportal/README.html" TargetMode="External"/><Relationship Id="rId32" Type="http://schemas.openxmlformats.org/officeDocument/2006/relationships/hyperlink" Target="https://datacatalog.worldbank.org/search/dataset/0042041" TargetMode="External"/><Relationship Id="rId5" Type="http://schemas.openxmlformats.org/officeDocument/2006/relationships/hyperlink" Target="https://simplemaps.com/data/world-cities" TargetMode="External"/><Relationship Id="rId15" Type="http://schemas.openxmlformats.org/officeDocument/2006/relationships/hyperlink" Target="https://data.humdata.org/dataset/cyclone-wind-100-years-return-period?" TargetMode="External"/><Relationship Id="rId23" Type="http://schemas.openxmlformats.org/officeDocument/2006/relationships/hyperlink" Target="https://data.apps.fao.org/catalog/iso/9d1e149b-d63f-4213-978b-317a8eb42d02" TargetMode="External"/><Relationship Id="rId28" Type="http://schemas.openxmlformats.org/officeDocument/2006/relationships/hyperlink" Target="https://worldbank.github.io/climateknowledgeportal/README.html" TargetMode="External"/><Relationship Id="rId10" Type="http://schemas.openxmlformats.org/officeDocument/2006/relationships/hyperlink" Target="https://gee-community-catalog.org/projects/globgm/" TargetMode="External"/><Relationship Id="rId19" Type="http://schemas.openxmlformats.org/officeDocument/2006/relationships/hyperlink" Target="https://www.ipcinfo.org/ipc-country-analysis/en/" TargetMode="External"/><Relationship Id="rId31" Type="http://schemas.openxmlformats.org/officeDocument/2006/relationships/hyperlink" Target="https://acleddata.com/data-export-tool/" TargetMode="External"/><Relationship Id="rId4" Type="http://schemas.openxmlformats.org/officeDocument/2006/relationships/hyperlink" Target="https://hub.worldpop.org/geodata/summary?id=55410" TargetMode="External"/><Relationship Id="rId9" Type="http://schemas.openxmlformats.org/officeDocument/2006/relationships/hyperlink" Target="https://global-surface-water.appspot.com/download" TargetMode="External"/><Relationship Id="rId14" Type="http://schemas.openxmlformats.org/officeDocument/2006/relationships/hyperlink" Target="https://data.humdata.org/dataset/cyclone-wind-100-years-return-period?" TargetMode="External"/><Relationship Id="rId22" Type="http://schemas.openxmlformats.org/officeDocument/2006/relationships/hyperlink" Target="https://fews.net/mozambique-livelihood-zones-2014" TargetMode="External"/><Relationship Id="rId27" Type="http://schemas.openxmlformats.org/officeDocument/2006/relationships/hyperlink" Target="https://worldbank.github.io/climateknowledgeportal/README.html" TargetMode="External"/><Relationship Id="rId30" Type="http://schemas.openxmlformats.org/officeDocument/2006/relationships/hyperlink" Target="https://eogdata.mines.edu/products/vnl/" TargetMode="External"/><Relationship Id="rId8" Type="http://schemas.openxmlformats.org/officeDocument/2006/relationships/hyperlink" Target="https://developers.google.com/earth-engine/datasets/catalog/JRC_GSW1_4_GlobalSurfaceWater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28B7323-9097-4763-8186-45DCAFAA8EDC}">
  <dimension ref="A1:G28"/>
  <sheetViews>
    <sheetView showGridLines="0" tabSelected="1" topLeftCell="B13" zoomScaleNormal="100" workbookViewId="0">
      <selection activeCell="C20" sqref="C20"/>
    </sheetView>
  </sheetViews>
  <sheetFormatPr defaultRowHeight="14.6"/>
  <cols>
    <col min="1" max="1" width="27.84375" customWidth="1"/>
    <col min="2" max="5" width="29.07421875" customWidth="1"/>
    <col min="6" max="6" width="44.15234375" customWidth="1"/>
    <col min="7" max="7" width="37.61328125" customWidth="1"/>
  </cols>
  <sheetData>
    <row r="1" spans="1:7">
      <c r="A1" s="1" t="s">
        <v>0</v>
      </c>
      <c r="B1" s="1" t="s">
        <v>35</v>
      </c>
      <c r="C1" s="1" t="s">
        <v>39</v>
      </c>
      <c r="D1" s="1" t="s">
        <v>1</v>
      </c>
      <c r="E1" s="1" t="s">
        <v>40</v>
      </c>
      <c r="F1" s="1" t="s">
        <v>174</v>
      </c>
      <c r="G1" s="1" t="s">
        <v>169</v>
      </c>
    </row>
    <row r="2" spans="1:7" ht="28.3">
      <c r="A2" s="1" t="s">
        <v>36</v>
      </c>
      <c r="B2" s="11" t="s">
        <v>154</v>
      </c>
      <c r="C2" s="2" t="s">
        <v>156</v>
      </c>
      <c r="D2" s="2" t="s">
        <v>2</v>
      </c>
      <c r="E2" s="2" t="s">
        <v>157</v>
      </c>
      <c r="F2" s="3" t="str">
        <f>_xlfn.CONCAT("[",C2,"](",B2,")")</f>
        <v>[OCHA](https://data.humdata.org/dataset/?dataseries_name=COD+-+Subnational+Administrative+Boundaries)</v>
      </c>
      <c r="G2" s="2" t="s">
        <v>172</v>
      </c>
    </row>
    <row r="3" spans="1:7" ht="28.3">
      <c r="A3" s="1" t="s">
        <v>158</v>
      </c>
      <c r="B3" s="11" t="s">
        <v>159</v>
      </c>
      <c r="C3" s="2" t="s">
        <v>42</v>
      </c>
      <c r="D3" s="2" t="s">
        <v>160</v>
      </c>
      <c r="E3" s="2" t="s">
        <v>161</v>
      </c>
      <c r="F3" s="3" t="str">
        <f>_xlfn.CONCAT("[",C3,"](",B3,")")</f>
        <v>[GADM](https://gadm.org/download_country.html)</v>
      </c>
      <c r="G3" s="2" t="s">
        <v>172</v>
      </c>
    </row>
    <row r="4" spans="1:7" ht="42.45">
      <c r="A4" s="1" t="s">
        <v>155</v>
      </c>
      <c r="B4" s="11" t="s">
        <v>163</v>
      </c>
      <c r="C4" t="s">
        <v>162</v>
      </c>
      <c r="D4" s="2" t="s">
        <v>3</v>
      </c>
      <c r="E4" s="2" t="s">
        <v>44</v>
      </c>
      <c r="F4" s="3" t="str">
        <f>_xlfn.CONCAT("[",C4,"](",B4,")")</f>
        <v>[Global Aridity Index and Potential Evapo-Transpiration (ET0) Database v3](https://gee-community-catalog.org/projects/ai0/#paper-citation)</v>
      </c>
      <c r="G4" s="2" t="s">
        <v>164</v>
      </c>
    </row>
    <row r="5" spans="1:7" ht="56.6">
      <c r="A5" s="1" t="s">
        <v>4</v>
      </c>
      <c r="B5" s="12" t="s">
        <v>165</v>
      </c>
      <c r="C5" s="2" t="s">
        <v>166</v>
      </c>
      <c r="D5" s="2" t="s">
        <v>3</v>
      </c>
      <c r="E5" s="2" t="s">
        <v>44</v>
      </c>
      <c r="F5" s="3" t="str">
        <f>_xlfn.CONCAT("[",C5,"](",B5,")")</f>
        <v>[Köppen-Geiger Maps](https://www.gloh2o.org/koppen/)</v>
      </c>
      <c r="G5" s="2" t="s">
        <v>167</v>
      </c>
    </row>
    <row r="6" spans="1:7" ht="56.6">
      <c r="A6" s="1" t="s">
        <v>5</v>
      </c>
      <c r="B6" s="12" t="s">
        <v>168</v>
      </c>
      <c r="C6" s="2" t="s">
        <v>148</v>
      </c>
      <c r="D6" s="2" t="s">
        <v>6</v>
      </c>
      <c r="E6" s="2" t="s">
        <v>44</v>
      </c>
      <c r="F6" s="3" t="str">
        <f>_xlfn.CONCAT("[",C6,"](",B6,")")</f>
        <v>[ACLED](https://acleddata.com/conflict-data/data-export-tool)</v>
      </c>
      <c r="G6" s="2" t="s">
        <v>170</v>
      </c>
    </row>
    <row r="7" spans="1:7" ht="70.75">
      <c r="A7" s="1" t="s">
        <v>171</v>
      </c>
      <c r="B7" s="11" t="s">
        <v>179</v>
      </c>
      <c r="C7" s="2" t="s">
        <v>175</v>
      </c>
      <c r="D7" s="2" t="s">
        <v>3</v>
      </c>
      <c r="E7" s="2" t="s">
        <v>44</v>
      </c>
      <c r="F7" s="3" t="str">
        <f>_xlfn.CONCAT("[",C7,"](",B7,")")</f>
        <v>[Global cropland expansion in the 21st century (GLAD / Potapov)](https://glad.umd.edu/dataset/croplands)</v>
      </c>
      <c r="G7" s="2" t="s">
        <v>185</v>
      </c>
    </row>
    <row r="8" spans="1:7" ht="70.75">
      <c r="A8" s="1" t="s">
        <v>7</v>
      </c>
      <c r="B8" s="11" t="s">
        <v>178</v>
      </c>
      <c r="C8" s="2" t="s">
        <v>176</v>
      </c>
      <c r="D8" s="2" t="s">
        <v>3</v>
      </c>
      <c r="E8" s="2" t="s">
        <v>44</v>
      </c>
      <c r="F8" s="3" t="str">
        <f>_xlfn.CONCAT("[",C8,"](",B8,")")</f>
        <v>[UNDRR Global Assessment Report (GAR)'s Global model of cyclone wind 50, 100, 250, 500 and 1000 years return period](https://data.humdata.org/dataset/cyclone-wind-100-years-return-period?)</v>
      </c>
      <c r="G8" s="2"/>
    </row>
    <row r="9" spans="1:7" ht="113.15">
      <c r="A9" s="1" t="s">
        <v>8</v>
      </c>
      <c r="B9" s="12" t="s">
        <v>177</v>
      </c>
      <c r="C9" s="2" t="s">
        <v>182</v>
      </c>
      <c r="D9" s="2" t="s">
        <v>3</v>
      </c>
      <c r="E9" s="2" t="s">
        <v>44</v>
      </c>
      <c r="F9" s="3" t="str">
        <f>_xlfn.CONCAT("[",C9,"](",B9,")")</f>
        <v>[WorldClim BIO Clim Variables](https://www.worldclim.org/data/worldclim21.html)</v>
      </c>
      <c r="G9" s="2" t="s">
        <v>195</v>
      </c>
    </row>
    <row r="10" spans="1:7" ht="70.75">
      <c r="A10" s="1" t="s">
        <v>10</v>
      </c>
      <c r="B10" s="12" t="s">
        <v>180</v>
      </c>
      <c r="C10" s="2" t="s">
        <v>181</v>
      </c>
      <c r="D10" s="2" t="s">
        <v>3</v>
      </c>
      <c r="E10" s="2" t="s">
        <v>44</v>
      </c>
      <c r="F10" s="3" t="str">
        <f>_xlfn.CONCAT("[",C10,"](",B10,")")</f>
        <v>[Copernicus Digital Elevation Model (GLO-30 DEM)](https://gee-community-catalog.org/projects/glo30/)</v>
      </c>
      <c r="G10" s="2" t="s">
        <v>201</v>
      </c>
    </row>
    <row r="11" spans="1:7" ht="43.75">
      <c r="A11" s="1" t="s">
        <v>11</v>
      </c>
      <c r="B11" s="12" t="s">
        <v>190</v>
      </c>
      <c r="C11" s="2" t="s">
        <v>12</v>
      </c>
      <c r="D11" s="2" t="s">
        <v>13</v>
      </c>
      <c r="E11" s="2" t="s">
        <v>183</v>
      </c>
      <c r="F11" s="3" t="str">
        <f>_xlfn.CONCAT("[",C11,"](",B11,")")</f>
        <v>[Integrated Food Security Phase Classification (IPC)](https://www.ipcinfo.org/ipc-country-analysis/ipc-mapping-tool/)</v>
      </c>
      <c r="G11" s="2" t="s">
        <v>191</v>
      </c>
    </row>
    <row r="12" spans="1:7" ht="58.3">
      <c r="A12" s="1" t="s">
        <v>14</v>
      </c>
      <c r="B12" s="12" t="s">
        <v>194</v>
      </c>
      <c r="C12" s="2" t="s">
        <v>193</v>
      </c>
      <c r="D12" s="2" t="s">
        <v>3</v>
      </c>
      <c r="E12" s="2" t="s">
        <v>44</v>
      </c>
      <c r="F12" s="3" t="str">
        <f>_xlfn.CONCAT("[",C12,"](",B12,")")</f>
        <v>[Calculation based on ERA5-Land Daily Aggregated](https://developers.google.com/earth-engine/datasets/catalog/ECMWF_ERA5_LAND_DAILY_AGGR)</v>
      </c>
      <c r="G12" s="2" t="s">
        <v>192</v>
      </c>
    </row>
    <row r="13" spans="1:7" ht="116.6">
      <c r="A13" s="1" t="s">
        <v>15</v>
      </c>
      <c r="B13" s="12" t="s">
        <v>196</v>
      </c>
      <c r="C13" s="2" t="s">
        <v>200</v>
      </c>
      <c r="D13" s="2" t="s">
        <v>3</v>
      </c>
      <c r="E13" s="2" t="s">
        <v>44</v>
      </c>
      <c r="F13" s="3" t="str">
        <f>_xlfn.CONCAT("[",C13,"](",B13,")")</f>
        <v>[CIMIP6 from World Bank Climate Change Knowledge Portal (CCKP)](https://wbg-cckp.s3.amazonaws.com/data/cmip6-x0.25/hd30/ensemble-all-historical/climatology-hd30-annual-mean_cmip6-x0.25_ensemble-all-historical_climatology_median_1995-2014.nc)</v>
      </c>
      <c r="G13" s="2" t="s">
        <v>197</v>
      </c>
    </row>
    <row r="14" spans="1:7" ht="42.45">
      <c r="A14" s="1" t="s">
        <v>16</v>
      </c>
      <c r="B14" t="s">
        <v>189</v>
      </c>
      <c r="C14" s="2" t="s">
        <v>218</v>
      </c>
      <c r="D14" s="2" t="s">
        <v>17</v>
      </c>
      <c r="E14" s="2" t="s">
        <v>184</v>
      </c>
      <c r="F14" s="3" t="str">
        <f>_xlfn.CONCAT("[",C14,"](",B14,")")</f>
        <v>[Integrated Electrification Planning Results, from Government stakeholders](Depending on country)</v>
      </c>
      <c r="G14" s="2"/>
    </row>
    <row r="15" spans="1:7" ht="29.15">
      <c r="A15" s="1" t="s">
        <v>18</v>
      </c>
      <c r="B15" s="12" t="s">
        <v>198</v>
      </c>
      <c r="C15" s="2" t="s">
        <v>199</v>
      </c>
      <c r="D15" s="2" t="s">
        <v>2</v>
      </c>
      <c r="E15" s="2"/>
      <c r="F15" s="3" t="str">
        <f>_xlfn.CONCAT("[",C15,"](",B15,")")</f>
        <v>[FEWS NETLivelihood Zones](https://fews.net/data/livelihood-zones)</v>
      </c>
      <c r="G15" s="2"/>
    </row>
    <row r="16" spans="1:7" ht="28.3">
      <c r="A16" s="1" t="s">
        <v>19</v>
      </c>
      <c r="B16" t="s">
        <v>173</v>
      </c>
      <c r="C16" s="2" t="s">
        <v>187</v>
      </c>
      <c r="D16" s="2" t="s">
        <v>188</v>
      </c>
      <c r="E16" s="2" t="s">
        <v>184</v>
      </c>
      <c r="F16" s="3" t="str">
        <f>_xlfn.CONCAT("[",C16,"](",B16,")")</f>
        <v>[Mini-grid location from Government stakeholders](Not publicly available)</v>
      </c>
      <c r="G16" s="2"/>
    </row>
    <row r="17" spans="1:7" ht="42.45">
      <c r="A17" s="1" t="s">
        <v>20</v>
      </c>
      <c r="B17" t="s">
        <v>173</v>
      </c>
      <c r="C17" s="2" t="s">
        <v>186</v>
      </c>
      <c r="D17" s="2" t="s">
        <v>188</v>
      </c>
      <c r="E17" s="2" t="s">
        <v>184</v>
      </c>
      <c r="F17" s="3" t="str">
        <f>_xlfn.CONCAT("[",C17,"](",B17,")")</f>
        <v>[Medium Voltage (MV) Electrical Lines from Government stakeholders](Not publicly available)</v>
      </c>
      <c r="G17" s="2"/>
    </row>
    <row r="18" spans="1:7" ht="29.15">
      <c r="A18" s="1" t="s">
        <v>21</v>
      </c>
      <c r="B18" s="12" t="s">
        <v>202</v>
      </c>
      <c r="C18" s="2" t="s">
        <v>22</v>
      </c>
      <c r="D18" s="2" t="s">
        <v>3</v>
      </c>
      <c r="E18" s="2" t="s">
        <v>44</v>
      </c>
      <c r="F18" s="3" t="str">
        <f>_xlfn.CONCAT("[",C18,"](",B18,")")</f>
        <v>[VIIRS/NPP Visible Infrared Imaging Radiometer Suite](https://eogdata.mines.edu/products/vnl/.)</v>
      </c>
      <c r="G18" s="2" t="s">
        <v>203</v>
      </c>
    </row>
    <row r="19" spans="1:7" ht="42.45">
      <c r="A19" s="1" t="s">
        <v>23</v>
      </c>
      <c r="B19" s="12" t="s">
        <v>219</v>
      </c>
      <c r="C19" s="2" t="s">
        <v>220</v>
      </c>
      <c r="D19" s="2" t="s">
        <v>3</v>
      </c>
      <c r="E19" s="2" t="s">
        <v>44</v>
      </c>
      <c r="F19" s="3" t="str">
        <f>_xlfn.CONCAT("[",C19,"](",B19,")")</f>
        <v>[WorldPop's constrained Individual Countries 2015-2030 100m resolution](https://hub.worldpop.org/geodata/listing?id=100)</v>
      </c>
      <c r="G19" s="2"/>
    </row>
    <row r="20" spans="1:7" ht="113.15">
      <c r="A20" s="1" t="s">
        <v>24</v>
      </c>
      <c r="B20" s="12" t="s">
        <v>177</v>
      </c>
      <c r="C20" s="2" t="s">
        <v>9</v>
      </c>
      <c r="D20" s="2" t="s">
        <v>3</v>
      </c>
      <c r="E20" s="2" t="s">
        <v>44</v>
      </c>
      <c r="F20" s="3" t="str">
        <f>_xlfn.CONCAT("[",C20,"](",B20,")")</f>
        <v>[WorldClim BIO Variables](https://www.worldclim.org/data/worldclim21.html)</v>
      </c>
      <c r="G20" s="2" t="s">
        <v>195</v>
      </c>
    </row>
    <row r="21" spans="1:7" ht="29.15">
      <c r="A21" s="1" t="s">
        <v>25</v>
      </c>
      <c r="B21" s="12" t="s">
        <v>211</v>
      </c>
      <c r="C21" s="2" t="s">
        <v>210</v>
      </c>
      <c r="D21" s="2" t="s">
        <v>3</v>
      </c>
      <c r="E21" s="2" t="s">
        <v>44</v>
      </c>
      <c r="F21" s="3" t="str">
        <f>_xlfn.CONCAT("[",C21,"](",B21,")")</f>
        <v>[Global Solar Atlas's Specific solar photovoltaic (PV) output](https://globalsolaratlas.info/download)</v>
      </c>
      <c r="G21" s="2"/>
    </row>
    <row r="22" spans="1:7" ht="131.15">
      <c r="A22" s="1" t="s">
        <v>26</v>
      </c>
      <c r="B22" s="12" t="s">
        <v>205</v>
      </c>
      <c r="C22" s="2" t="s">
        <v>204</v>
      </c>
      <c r="D22" s="2" t="s">
        <v>3</v>
      </c>
      <c r="E22" s="2" t="s">
        <v>144</v>
      </c>
      <c r="F22" s="3" t="str">
        <f>_xlfn.CONCAT("[",C22,"](",B22,")")</f>
        <v>[Meta's Relative Wealth Index Map](https://data.humdata.org/dataset/relative-wealth-index?fbclid=IwZXh0bgNhZW0CMTEAYnJpZBExMHp4QTY3ellmaFg2c0dER3NydGMGYXBwX2lkATAAAR5CYAQfvmSSPSh2JLrDT8sebiJEC1jmH-9_HB05sAcSi8fQx947oY87GUzyig_aem_l0P1tM-UMYF3heZ2Fp419A)</v>
      </c>
      <c r="G22" s="2"/>
    </row>
    <row r="23" spans="1:7" ht="29.15">
      <c r="A23" s="1" t="s">
        <v>27</v>
      </c>
      <c r="B23" s="12" t="s">
        <v>207</v>
      </c>
      <c r="C23" s="2" t="s">
        <v>28</v>
      </c>
      <c r="D23" s="2" t="s">
        <v>17</v>
      </c>
      <c r="E23" s="2" t="s">
        <v>48</v>
      </c>
      <c r="F23" s="3" t="str">
        <f>_xlfn.CONCAT("[",C23,"](",B23,")")</f>
        <v>[GRID3 Settlement Extents](https://data.grid3.org/search?tags=settlements)</v>
      </c>
      <c r="G23" s="2" t="s">
        <v>206</v>
      </c>
    </row>
    <row r="24" spans="1:7" ht="42.45">
      <c r="A24" s="1" t="s">
        <v>29</v>
      </c>
      <c r="B24" s="12" t="s">
        <v>208</v>
      </c>
      <c r="C24" s="2" t="s">
        <v>30</v>
      </c>
      <c r="D24" s="2" t="s">
        <v>17</v>
      </c>
      <c r="E24" s="2" t="s">
        <v>44</v>
      </c>
      <c r="F24" s="3" t="str">
        <f>_xlfn.CONCAT("[",C24,"](",B24,")")</f>
        <v>[OpenStreetMap (OSM) Coastline](https://osmdata.openstreetmap.de/data/coastlines.html)</v>
      </c>
      <c r="G24" s="2" t="s">
        <v>209</v>
      </c>
    </row>
    <row r="25" spans="1:7" ht="84.9">
      <c r="A25" s="1" t="s">
        <v>31</v>
      </c>
      <c r="B25" s="12" t="s">
        <v>213</v>
      </c>
      <c r="C25" s="2" t="s">
        <v>214</v>
      </c>
      <c r="D25" s="2" t="s">
        <v>3</v>
      </c>
      <c r="E25" s="2" t="s">
        <v>44</v>
      </c>
      <c r="F25" s="3" t="str">
        <f>_xlfn.CONCAT("[",C25,"](",B25,")")</f>
        <v>[Travel times to Airports, Ports, Capital, Cities, Railways](https://malariaatlas.org/project-resources/accessibility-to-healthcare/)</v>
      </c>
      <c r="G25" s="2" t="s">
        <v>212</v>
      </c>
    </row>
    <row r="26" spans="1:7" ht="29.15">
      <c r="A26" s="1" t="s">
        <v>32</v>
      </c>
      <c r="B26" s="12" t="s">
        <v>211</v>
      </c>
      <c r="C26" s="2" t="s">
        <v>215</v>
      </c>
      <c r="D26" s="2" t="s">
        <v>3</v>
      </c>
      <c r="E26" s="2" t="s">
        <v>44</v>
      </c>
      <c r="F26" s="3" t="str">
        <f>_xlfn.CONCAT("[",C26,"](",B26,")")</f>
        <v>[Global Solar Atlas's Mean Temperature](https://globalsolaratlas.info/download)</v>
      </c>
      <c r="G26" s="2"/>
    </row>
    <row r="27" spans="1:7" ht="58.3">
      <c r="A27" s="1" t="s">
        <v>33</v>
      </c>
      <c r="B27" s="12" t="s">
        <v>216</v>
      </c>
      <c r="C27" s="2" t="s">
        <v>34</v>
      </c>
      <c r="D27" s="2" t="s">
        <v>3</v>
      </c>
      <c r="E27" s="2" t="s">
        <v>44</v>
      </c>
      <c r="F27" s="3" t="str">
        <f>_xlfn.CONCAT("[",C27,"](",B27,")")</f>
        <v>[JRC Global Surface Water (GSW)](https://developers.google.com/earth-engine/datasets/catalog/JRC_GSW1_4_GlobalSurfaceWater)</v>
      </c>
      <c r="G27" s="2" t="s">
        <v>217</v>
      </c>
    </row>
    <row r="28" spans="1:7">
      <c r="G28" s="2"/>
    </row>
  </sheetData>
  <hyperlinks>
    <hyperlink ref="B2" r:id="rId1" xr:uid="{90D5A370-A3E1-4984-8B9F-2868CA893B2E}"/>
    <hyperlink ref="B3" r:id="rId2" xr:uid="{DA902C22-777B-453D-BD8E-0930BD1BF92A}"/>
    <hyperlink ref="B4" r:id="rId3" location="paper-citation" xr:uid="{51D5DC14-F567-4451-A174-4F32ADCA4AA5}"/>
    <hyperlink ref="B5" r:id="rId4" xr:uid="{7892328C-DE61-4216-9813-EAE712411285}"/>
    <hyperlink ref="B6" r:id="rId5" xr:uid="{38FC03AF-4AB1-4577-A465-44CCCF5D29C7}"/>
    <hyperlink ref="B7" r:id="rId6" xr:uid="{905E343D-24CA-4FD4-94D7-AFA5AC4A4154}"/>
    <hyperlink ref="B8" r:id="rId7" xr:uid="{A1800C4B-9B53-4E6B-93FB-D0AAE2FD916F}"/>
    <hyperlink ref="B9" r:id="rId8" xr:uid="{537CF0E9-6BB1-45D5-8EE5-D7C02E27BEB4}"/>
    <hyperlink ref="B10" r:id="rId9" xr:uid="{FD813456-A8FD-49CD-9EF4-9AD9F769052B}"/>
    <hyperlink ref="B11" r:id="rId10" xr:uid="{5BD2FDD9-D03B-4FB8-BE9C-28A0337DFEC8}"/>
    <hyperlink ref="B12" r:id="rId11" xr:uid="{D9C6DFE4-BA63-4085-971C-EA29C2419631}"/>
    <hyperlink ref="B13" r:id="rId12" xr:uid="{50FBF2E0-0AB8-473C-A64D-3D2D931458C9}"/>
    <hyperlink ref="B15" r:id="rId13" xr:uid="{49268DFF-A2C6-46EE-9299-46494096C189}"/>
    <hyperlink ref="B18" r:id="rId14" xr:uid="{F2D1C0E1-E964-425D-892F-B226863AE421}"/>
    <hyperlink ref="B22" r:id="rId15" xr:uid="{F918867B-3906-4076-AFF8-34D5F539911C}"/>
    <hyperlink ref="B23" r:id="rId16" xr:uid="{9B664DC7-DCAF-443D-83A7-652244C238A7}"/>
    <hyperlink ref="B24" r:id="rId17" xr:uid="{2EE32D99-4CD1-41A6-9DA5-4AC89E231933}"/>
    <hyperlink ref="B21" r:id="rId18" xr:uid="{2FAC69EA-ACA8-45D4-9EEB-94E8413683D9}"/>
    <hyperlink ref="B25" r:id="rId19" xr:uid="{BB189AE0-3DDE-425B-8883-E3E4A65E19F9}"/>
    <hyperlink ref="B26" r:id="rId20" xr:uid="{59881AD8-0CC4-4A9E-8458-C224FA4E68DD}"/>
    <hyperlink ref="B27" r:id="rId21" xr:uid="{C9C24E9F-954D-4F24-80F1-8F64AF4E333B}"/>
    <hyperlink ref="B20" r:id="rId22" xr:uid="{F20A0BBB-34DD-4014-A8F8-7AAC9B0E8645}"/>
    <hyperlink ref="B19" r:id="rId23" xr:uid="{EF4DC0C8-E192-4FF6-878F-DF4C7C4A38D9}"/>
  </hyperlinks>
  <pageMargins left="0.7" right="0.7" top="0.75" bottom="0.75" header="0.3" footer="0.3"/>
  <tableParts count="1">
    <tablePart r:id="rId24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A3B3DC7-B12B-4678-87FB-AD022EF61D59}">
  <dimension ref="A1:F50"/>
  <sheetViews>
    <sheetView showGridLines="0" topLeftCell="A30" workbookViewId="0">
      <selection activeCell="D28" sqref="D28"/>
    </sheetView>
  </sheetViews>
  <sheetFormatPr defaultRowHeight="14.6"/>
  <cols>
    <col min="1" max="1" width="20.53515625" customWidth="1"/>
    <col min="2" max="3" width="15.07421875" customWidth="1"/>
    <col min="4" max="4" width="16.765625" customWidth="1"/>
    <col min="5" max="5" width="15.3046875" customWidth="1"/>
    <col min="6" max="6" width="15.15234375" customWidth="1"/>
  </cols>
  <sheetData>
    <row r="1" spans="1:6" ht="15" thickBot="1">
      <c r="A1" s="4" t="s">
        <v>37</v>
      </c>
      <c r="B1" s="5" t="s">
        <v>38</v>
      </c>
      <c r="C1" s="5"/>
      <c r="D1" s="5" t="s">
        <v>39</v>
      </c>
      <c r="E1" s="5" t="s">
        <v>1</v>
      </c>
      <c r="F1" s="5" t="s">
        <v>40</v>
      </c>
    </row>
    <row r="2" spans="1:6" ht="23.6" thickBot="1">
      <c r="A2" s="6">
        <v>1</v>
      </c>
      <c r="B2" s="7" t="s">
        <v>41</v>
      </c>
      <c r="C2" s="7"/>
      <c r="D2" s="8" t="s">
        <v>42</v>
      </c>
      <c r="E2" s="7" t="s">
        <v>43</v>
      </c>
      <c r="F2" s="7" t="s">
        <v>44</v>
      </c>
    </row>
    <row r="3" spans="1:6" ht="44.15" thickBot="1">
      <c r="A3" s="6">
        <v>2</v>
      </c>
      <c r="B3" s="7" t="s">
        <v>45</v>
      </c>
      <c r="C3" s="7"/>
      <c r="D3" s="8" t="s">
        <v>46</v>
      </c>
      <c r="E3" s="7" t="s">
        <v>47</v>
      </c>
      <c r="F3" s="7" t="s">
        <v>48</v>
      </c>
    </row>
    <row r="4" spans="1:6" ht="81.900000000000006" thickBot="1">
      <c r="A4" s="6">
        <v>3</v>
      </c>
      <c r="B4" s="7" t="s">
        <v>49</v>
      </c>
      <c r="C4" s="7"/>
      <c r="D4" s="7" t="s">
        <v>50</v>
      </c>
      <c r="E4" s="7" t="s">
        <v>51</v>
      </c>
      <c r="F4" s="7" t="s">
        <v>44</v>
      </c>
    </row>
    <row r="5" spans="1:6" ht="73.3" thickBot="1">
      <c r="A5" s="6">
        <v>4</v>
      </c>
      <c r="B5" s="7" t="s">
        <v>52</v>
      </c>
      <c r="C5" s="7"/>
      <c r="D5" s="8" t="s">
        <v>53</v>
      </c>
      <c r="E5" s="7" t="s">
        <v>54</v>
      </c>
      <c r="F5" s="7" t="s">
        <v>44</v>
      </c>
    </row>
    <row r="6" spans="1:6" ht="46.75" thickBot="1">
      <c r="A6" s="6">
        <v>5</v>
      </c>
      <c r="B6" s="7" t="s">
        <v>55</v>
      </c>
      <c r="C6" s="7"/>
      <c r="D6" s="7" t="s">
        <v>56</v>
      </c>
      <c r="E6" s="7" t="s">
        <v>57</v>
      </c>
      <c r="F6" s="7" t="s">
        <v>58</v>
      </c>
    </row>
    <row r="7" spans="1:6" ht="44.15" thickBot="1">
      <c r="A7" s="6">
        <v>6</v>
      </c>
      <c r="B7" s="7" t="s">
        <v>59</v>
      </c>
      <c r="C7" s="7"/>
      <c r="D7" s="8" t="s">
        <v>60</v>
      </c>
      <c r="E7" s="7" t="s">
        <v>61</v>
      </c>
      <c r="F7" s="7" t="s">
        <v>44</v>
      </c>
    </row>
    <row r="8" spans="1:6" ht="46.75" thickBot="1">
      <c r="A8" s="6">
        <v>7</v>
      </c>
      <c r="B8" s="7" t="s">
        <v>62</v>
      </c>
      <c r="C8" s="7"/>
      <c r="D8" s="7" t="s">
        <v>56</v>
      </c>
      <c r="E8" s="7" t="s">
        <v>57</v>
      </c>
      <c r="F8" s="7" t="s">
        <v>58</v>
      </c>
    </row>
    <row r="9" spans="1:6" ht="44.15" thickBot="1">
      <c r="A9" s="6">
        <v>8</v>
      </c>
      <c r="B9" s="7" t="s">
        <v>63</v>
      </c>
      <c r="C9" s="7"/>
      <c r="D9" s="8" t="s">
        <v>64</v>
      </c>
      <c r="E9" s="7" t="s">
        <v>65</v>
      </c>
      <c r="F9" s="7" t="s">
        <v>44</v>
      </c>
    </row>
    <row r="10" spans="1:6" ht="15" thickBot="1">
      <c r="A10" s="6">
        <v>9</v>
      </c>
      <c r="B10" s="7" t="s">
        <v>66</v>
      </c>
      <c r="C10" s="7"/>
      <c r="D10" s="7" t="s">
        <v>67</v>
      </c>
      <c r="E10" s="7" t="s">
        <v>47</v>
      </c>
      <c r="F10" s="7" t="s">
        <v>44</v>
      </c>
    </row>
    <row r="11" spans="1:6" ht="23.6" thickBot="1">
      <c r="A11" s="6">
        <v>10</v>
      </c>
      <c r="B11" s="7" t="s">
        <v>68</v>
      </c>
      <c r="C11" s="7"/>
      <c r="D11" s="7" t="s">
        <v>69</v>
      </c>
      <c r="E11" s="7" t="s">
        <v>47</v>
      </c>
      <c r="F11" s="7" t="s">
        <v>44</v>
      </c>
    </row>
    <row r="12" spans="1:6" ht="15" thickBot="1">
      <c r="A12" s="6">
        <v>11</v>
      </c>
      <c r="B12" s="7" t="s">
        <v>70</v>
      </c>
      <c r="C12" s="7"/>
      <c r="D12" s="7" t="s">
        <v>67</v>
      </c>
      <c r="E12" s="7" t="s">
        <v>47</v>
      </c>
      <c r="F12" s="7" t="s">
        <v>44</v>
      </c>
    </row>
    <row r="13" spans="1:6" ht="15" thickBot="1">
      <c r="A13" s="6">
        <v>12</v>
      </c>
      <c r="B13" s="7" t="s">
        <v>71</v>
      </c>
      <c r="C13" s="7"/>
      <c r="D13" s="7" t="s">
        <v>67</v>
      </c>
      <c r="E13" s="7" t="s">
        <v>47</v>
      </c>
      <c r="F13" s="7" t="s">
        <v>44</v>
      </c>
    </row>
    <row r="14" spans="1:6" ht="44.15" thickBot="1">
      <c r="A14" s="6">
        <v>13</v>
      </c>
      <c r="B14" s="7" t="s">
        <v>72</v>
      </c>
      <c r="C14" s="7"/>
      <c r="D14" s="8" t="s">
        <v>73</v>
      </c>
      <c r="E14" s="7" t="s">
        <v>47</v>
      </c>
      <c r="F14" s="7" t="s">
        <v>58</v>
      </c>
    </row>
    <row r="15" spans="1:6" ht="73.3" thickBot="1">
      <c r="A15" s="6">
        <v>14</v>
      </c>
      <c r="B15" s="7" t="s">
        <v>74</v>
      </c>
      <c r="C15" s="7"/>
      <c r="D15" s="8" t="s">
        <v>75</v>
      </c>
      <c r="E15" s="7" t="s">
        <v>47</v>
      </c>
      <c r="F15" s="7" t="s">
        <v>44</v>
      </c>
    </row>
    <row r="16" spans="1:6" ht="43.75">
      <c r="A16" s="13">
        <v>15</v>
      </c>
      <c r="B16" s="13" t="s">
        <v>76</v>
      </c>
      <c r="C16" s="9"/>
      <c r="D16" s="10" t="s">
        <v>77</v>
      </c>
      <c r="E16" s="13" t="s">
        <v>79</v>
      </c>
      <c r="F16" s="13" t="s">
        <v>44</v>
      </c>
    </row>
    <row r="17" spans="1:6" ht="58.75" thickBot="1">
      <c r="A17" s="14"/>
      <c r="B17" s="14"/>
      <c r="C17" s="7"/>
      <c r="D17" s="8" t="s">
        <v>78</v>
      </c>
      <c r="E17" s="14"/>
      <c r="F17" s="14"/>
    </row>
    <row r="18" spans="1:6" ht="73.3" thickBot="1">
      <c r="A18" s="6">
        <v>16</v>
      </c>
      <c r="B18" s="7" t="s">
        <v>80</v>
      </c>
      <c r="C18" s="7"/>
      <c r="D18" s="8" t="s">
        <v>81</v>
      </c>
      <c r="E18" s="7" t="s">
        <v>82</v>
      </c>
      <c r="F18" s="7" t="s">
        <v>44</v>
      </c>
    </row>
    <row r="19" spans="1:6" ht="72.900000000000006">
      <c r="A19" s="13">
        <v>17</v>
      </c>
      <c r="B19" s="13" t="s">
        <v>83</v>
      </c>
      <c r="C19" s="9"/>
      <c r="D19" s="10" t="s">
        <v>84</v>
      </c>
      <c r="E19" s="13" t="s">
        <v>87</v>
      </c>
      <c r="F19" s="13" t="s">
        <v>88</v>
      </c>
    </row>
    <row r="20" spans="1:6" ht="23.15">
      <c r="A20" s="17"/>
      <c r="B20" s="17"/>
      <c r="C20" s="9"/>
      <c r="D20" s="9" t="s">
        <v>85</v>
      </c>
      <c r="E20" s="17"/>
      <c r="F20" s="17"/>
    </row>
    <row r="21" spans="1:6" ht="23.6" thickBot="1">
      <c r="A21" s="14"/>
      <c r="B21" s="14"/>
      <c r="C21" s="7"/>
      <c r="D21" s="7" t="s">
        <v>86</v>
      </c>
      <c r="E21" s="14"/>
      <c r="F21" s="14"/>
    </row>
    <row r="22" spans="1:6" ht="87.45">
      <c r="A22" s="13">
        <v>18</v>
      </c>
      <c r="B22" s="13" t="s">
        <v>89</v>
      </c>
      <c r="C22" s="9"/>
      <c r="D22" s="10" t="s">
        <v>90</v>
      </c>
      <c r="E22" s="13" t="s">
        <v>93</v>
      </c>
      <c r="F22" s="13" t="s">
        <v>44</v>
      </c>
    </row>
    <row r="23" spans="1:6" ht="34.75">
      <c r="A23" s="17"/>
      <c r="B23" s="17"/>
      <c r="C23" s="9"/>
      <c r="D23" s="9" t="s">
        <v>91</v>
      </c>
      <c r="E23" s="17"/>
      <c r="F23" s="17"/>
    </row>
    <row r="24" spans="1:6" ht="35.15" thickBot="1">
      <c r="A24" s="14"/>
      <c r="B24" s="14"/>
      <c r="C24" s="7"/>
      <c r="D24" s="7" t="s">
        <v>92</v>
      </c>
      <c r="E24" s="14"/>
      <c r="F24" s="14"/>
    </row>
    <row r="25" spans="1:6" ht="208.75" thickBot="1">
      <c r="A25" s="6">
        <v>19</v>
      </c>
      <c r="B25" s="7" t="s">
        <v>94</v>
      </c>
      <c r="C25" s="7"/>
      <c r="D25" s="7" t="s">
        <v>95</v>
      </c>
      <c r="E25" s="7" t="s">
        <v>96</v>
      </c>
      <c r="F25" s="7" t="s">
        <v>44</v>
      </c>
    </row>
    <row r="26" spans="1:6" ht="81.45" thickBot="1">
      <c r="A26" s="6">
        <v>20</v>
      </c>
      <c r="B26" s="7" t="s">
        <v>97</v>
      </c>
      <c r="C26" s="7"/>
      <c r="D26" s="8" t="s">
        <v>98</v>
      </c>
      <c r="E26" s="7" t="s">
        <v>99</v>
      </c>
      <c r="F26" s="7" t="s">
        <v>44</v>
      </c>
    </row>
    <row r="27" spans="1:6" ht="58.3">
      <c r="A27" s="13">
        <v>21</v>
      </c>
      <c r="B27" s="13" t="s">
        <v>100</v>
      </c>
      <c r="C27" s="9"/>
      <c r="D27" s="10" t="s">
        <v>101</v>
      </c>
      <c r="E27" s="13" t="s">
        <v>103</v>
      </c>
      <c r="F27" s="13" t="s">
        <v>44</v>
      </c>
    </row>
    <row r="28" spans="1:6" ht="102.45" thickBot="1">
      <c r="A28" s="14"/>
      <c r="B28" s="14"/>
      <c r="C28" s="7"/>
      <c r="D28" s="8" t="s">
        <v>102</v>
      </c>
      <c r="E28" s="14"/>
      <c r="F28" s="14"/>
    </row>
    <row r="29" spans="1:6" ht="58.3" thickBot="1">
      <c r="A29" s="6">
        <v>22</v>
      </c>
      <c r="B29" s="7" t="s">
        <v>104</v>
      </c>
      <c r="C29" s="7"/>
      <c r="D29" s="8" t="s">
        <v>105</v>
      </c>
      <c r="E29" s="7" t="s">
        <v>106</v>
      </c>
      <c r="F29" s="7" t="s">
        <v>44</v>
      </c>
    </row>
    <row r="30" spans="1:6" ht="201" customHeight="1">
      <c r="A30" s="13">
        <v>23</v>
      </c>
      <c r="B30" s="9"/>
      <c r="C30" s="9"/>
      <c r="D30" s="15" t="s">
        <v>108</v>
      </c>
      <c r="E30" s="13" t="s">
        <v>109</v>
      </c>
      <c r="F30" s="13" t="s">
        <v>44</v>
      </c>
    </row>
    <row r="31" spans="1:6" ht="23.6" thickBot="1">
      <c r="A31" s="14"/>
      <c r="B31" s="7" t="s">
        <v>107</v>
      </c>
      <c r="C31" s="7"/>
      <c r="D31" s="16"/>
      <c r="E31" s="14"/>
      <c r="F31" s="14"/>
    </row>
    <row r="32" spans="1:6" ht="117" thickBot="1">
      <c r="A32" s="6">
        <v>24</v>
      </c>
      <c r="B32" s="7" t="s">
        <v>10</v>
      </c>
      <c r="C32" s="7"/>
      <c r="D32" s="8" t="s">
        <v>110</v>
      </c>
      <c r="E32" s="7" t="s">
        <v>93</v>
      </c>
      <c r="F32" s="7" t="s">
        <v>44</v>
      </c>
    </row>
    <row r="33" spans="1:6" ht="73.3" thickBot="1">
      <c r="A33" s="6">
        <v>25</v>
      </c>
      <c r="B33" s="7" t="s">
        <v>111</v>
      </c>
      <c r="C33" s="7"/>
      <c r="D33" s="8" t="s">
        <v>112</v>
      </c>
      <c r="E33" s="7" t="s">
        <v>47</v>
      </c>
      <c r="F33" s="7" t="s">
        <v>113</v>
      </c>
    </row>
    <row r="34" spans="1:6" ht="46.75" thickBot="1">
      <c r="A34" s="6">
        <v>26</v>
      </c>
      <c r="B34" s="7" t="s">
        <v>114</v>
      </c>
      <c r="C34" s="7"/>
      <c r="D34" s="8" t="s">
        <v>115</v>
      </c>
      <c r="E34" s="7" t="s">
        <v>116</v>
      </c>
      <c r="F34" s="8" t="s">
        <v>117</v>
      </c>
    </row>
    <row r="35" spans="1:6" ht="23.6" thickBot="1">
      <c r="A35" s="6">
        <v>27</v>
      </c>
      <c r="B35" s="7" t="s">
        <v>118</v>
      </c>
      <c r="C35" s="7"/>
      <c r="D35" s="8" t="s">
        <v>119</v>
      </c>
      <c r="E35" s="7" t="s">
        <v>47</v>
      </c>
      <c r="F35" s="7" t="s">
        <v>120</v>
      </c>
    </row>
    <row r="36" spans="1:6" ht="73.3" thickBot="1">
      <c r="A36" s="6">
        <v>28</v>
      </c>
      <c r="B36" s="7" t="s">
        <v>121</v>
      </c>
      <c r="C36" s="7"/>
      <c r="D36" s="8" t="s">
        <v>122</v>
      </c>
      <c r="E36" s="7" t="s">
        <v>123</v>
      </c>
      <c r="F36" s="7" t="s">
        <v>44</v>
      </c>
    </row>
    <row r="37" spans="1:6" ht="87.9" thickBot="1">
      <c r="A37" s="6">
        <v>29</v>
      </c>
      <c r="B37" s="7" t="s">
        <v>124</v>
      </c>
      <c r="C37" s="7"/>
      <c r="D37" s="8" t="s">
        <v>125</v>
      </c>
      <c r="E37" s="7" t="s">
        <v>126</v>
      </c>
      <c r="F37" s="7" t="s">
        <v>44</v>
      </c>
    </row>
    <row r="38" spans="1:6" ht="43.75" thickBot="1">
      <c r="A38" s="6">
        <v>30</v>
      </c>
      <c r="B38" s="7" t="s">
        <v>127</v>
      </c>
      <c r="C38" s="7"/>
      <c r="D38" s="7" t="s">
        <v>128</v>
      </c>
      <c r="E38" s="7" t="s">
        <v>93</v>
      </c>
      <c r="F38" s="7" t="s">
        <v>44</v>
      </c>
    </row>
    <row r="39" spans="1:6" ht="35.15" thickBot="1">
      <c r="A39" s="6">
        <v>31</v>
      </c>
      <c r="B39" s="7" t="s">
        <v>129</v>
      </c>
      <c r="C39" s="7"/>
      <c r="D39" s="8" t="s">
        <v>130</v>
      </c>
      <c r="E39" s="7" t="s">
        <v>93</v>
      </c>
      <c r="F39" s="7" t="s">
        <v>44</v>
      </c>
    </row>
    <row r="40" spans="1:6" ht="72.900000000000006">
      <c r="A40" s="13">
        <v>32</v>
      </c>
      <c r="B40" s="13" t="s">
        <v>131</v>
      </c>
      <c r="C40" s="9"/>
      <c r="D40" s="10" t="s">
        <v>84</v>
      </c>
      <c r="E40" s="13" t="s">
        <v>133</v>
      </c>
      <c r="F40" s="13" t="s">
        <v>88</v>
      </c>
    </row>
    <row r="41" spans="1:6" ht="23.15">
      <c r="A41" s="17"/>
      <c r="B41" s="17"/>
      <c r="C41" s="9"/>
      <c r="D41" s="9" t="s">
        <v>85</v>
      </c>
      <c r="E41" s="17"/>
      <c r="F41" s="17"/>
    </row>
    <row r="42" spans="1:6" ht="23.6" thickBot="1">
      <c r="A42" s="14"/>
      <c r="B42" s="14"/>
      <c r="C42" s="7"/>
      <c r="D42" s="7" t="s">
        <v>132</v>
      </c>
      <c r="E42" s="14"/>
      <c r="F42" s="14"/>
    </row>
    <row r="43" spans="1:6" ht="87.9" thickBot="1">
      <c r="A43" s="6">
        <v>33</v>
      </c>
      <c r="B43" s="7" t="s">
        <v>134</v>
      </c>
      <c r="C43" s="7"/>
      <c r="D43" s="8" t="s">
        <v>135</v>
      </c>
      <c r="E43" s="7" t="s">
        <v>136</v>
      </c>
      <c r="F43" s="7" t="s">
        <v>44</v>
      </c>
    </row>
    <row r="44" spans="1:6" ht="69.900000000000006" thickBot="1">
      <c r="A44" s="6">
        <v>34</v>
      </c>
      <c r="B44" s="7" t="s">
        <v>137</v>
      </c>
      <c r="C44" s="7"/>
      <c r="D44" s="7" t="s">
        <v>138</v>
      </c>
      <c r="E44" s="7" t="s">
        <v>136</v>
      </c>
      <c r="F44" s="7" t="s">
        <v>44</v>
      </c>
    </row>
    <row r="45" spans="1:6" ht="87.9" thickBot="1">
      <c r="A45" s="6">
        <v>35</v>
      </c>
      <c r="B45" s="7" t="s">
        <v>139</v>
      </c>
      <c r="C45" s="7"/>
      <c r="D45" s="8" t="s">
        <v>140</v>
      </c>
      <c r="E45" s="7" t="s">
        <v>136</v>
      </c>
      <c r="F45" s="7" t="s">
        <v>44</v>
      </c>
    </row>
    <row r="46" spans="1:6" ht="58.75" thickBot="1">
      <c r="A46" s="6">
        <v>36</v>
      </c>
      <c r="B46" s="7" t="s">
        <v>141</v>
      </c>
      <c r="C46" s="7"/>
      <c r="D46" s="8" t="s">
        <v>142</v>
      </c>
      <c r="E46" s="7" t="s">
        <v>143</v>
      </c>
      <c r="F46" s="7" t="s">
        <v>144</v>
      </c>
    </row>
    <row r="47" spans="1:6" ht="73.3" thickBot="1">
      <c r="A47" s="6">
        <v>37</v>
      </c>
      <c r="B47" s="7" t="s">
        <v>145</v>
      </c>
      <c r="C47" s="7"/>
      <c r="D47" s="8" t="s">
        <v>146</v>
      </c>
      <c r="E47" s="7" t="s">
        <v>93</v>
      </c>
      <c r="F47" s="7" t="s">
        <v>44</v>
      </c>
    </row>
    <row r="48" spans="1:6" ht="23.6" thickBot="1">
      <c r="A48" s="6">
        <v>38</v>
      </c>
      <c r="B48" s="7" t="s">
        <v>147</v>
      </c>
      <c r="C48" s="7"/>
      <c r="D48" s="8" t="s">
        <v>148</v>
      </c>
      <c r="E48" s="7" t="s">
        <v>65</v>
      </c>
      <c r="F48" s="7" t="s">
        <v>44</v>
      </c>
    </row>
    <row r="49" spans="1:6" ht="73.3" thickBot="1">
      <c r="A49" s="6">
        <v>39</v>
      </c>
      <c r="B49" s="7" t="s">
        <v>149</v>
      </c>
      <c r="C49" s="7"/>
      <c r="D49" s="8" t="s">
        <v>150</v>
      </c>
      <c r="E49" s="7" t="s">
        <v>47</v>
      </c>
      <c r="F49" s="7" t="s">
        <v>44</v>
      </c>
    </row>
    <row r="50" spans="1:6" ht="44.15" thickBot="1">
      <c r="A50" s="6">
        <v>40</v>
      </c>
      <c r="B50" s="7" t="s">
        <v>151</v>
      </c>
      <c r="C50" s="7"/>
      <c r="D50" s="8" t="s">
        <v>152</v>
      </c>
      <c r="E50" s="7" t="s">
        <v>153</v>
      </c>
      <c r="F50" s="7" t="s">
        <v>58</v>
      </c>
    </row>
  </sheetData>
  <mergeCells count="24">
    <mergeCell ref="A16:A17"/>
    <mergeCell ref="B16:B17"/>
    <mergeCell ref="E16:E17"/>
    <mergeCell ref="F16:F17"/>
    <mergeCell ref="A19:A21"/>
    <mergeCell ref="B19:B21"/>
    <mergeCell ref="E19:E21"/>
    <mergeCell ref="F19:F21"/>
    <mergeCell ref="A22:A24"/>
    <mergeCell ref="B22:B24"/>
    <mergeCell ref="E22:E24"/>
    <mergeCell ref="F22:F24"/>
    <mergeCell ref="A27:A28"/>
    <mergeCell ref="B27:B28"/>
    <mergeCell ref="E27:E28"/>
    <mergeCell ref="F27:F28"/>
    <mergeCell ref="A30:A31"/>
    <mergeCell ref="D30:D31"/>
    <mergeCell ref="E30:E31"/>
    <mergeCell ref="F30:F31"/>
    <mergeCell ref="A40:A42"/>
    <mergeCell ref="B40:B42"/>
    <mergeCell ref="E40:E42"/>
    <mergeCell ref="F40:F42"/>
  </mergeCells>
  <hyperlinks>
    <hyperlink ref="D2" r:id="rId1" display="https://gadm.org/" xr:uid="{98BB3DDC-05C2-43A1-9F1E-73DFBB59426A}"/>
    <hyperlink ref="D3" r:id="rId2" display="https://data.grid3.org/search?tags=MDG" xr:uid="{2BA175EF-E5C8-4CA0-9B33-48AE5198500C}"/>
    <hyperlink ref="D5" r:id="rId3" display="https://gee-community-catalog.org/projects/global_buildings/" xr:uid="{AD6DF3E2-866F-40E0-B363-05E51175BD87}"/>
    <hyperlink ref="D7" r:id="rId4" display="https://hub.worldpop.org/geodata/summary?id=55410" xr:uid="{A44AB00F-E3FB-4271-9773-9000B3E35A93}"/>
    <hyperlink ref="D9" r:id="rId5" display="https://simplemaps.com/data/world-cities" xr:uid="{0E681E53-2269-4A55-9E2B-475379F78EB5}"/>
    <hyperlink ref="D14" r:id="rId6" display="https://madagascar.sdg7energyplanning.org/wiki/madagascar-iep-tool-metadata/" xr:uid="{04696B61-59AF-4312-9D31-F47D1D0F25E0}"/>
    <hyperlink ref="D15" r:id="rId7" display="https://www.ngdc.noaa.gov/mgg/shorelines/data/gshhg/latest/" xr:uid="{6D9E1E02-7D9E-4C8A-8134-4C17380F3904}"/>
    <hyperlink ref="D16" r:id="rId8" display="https://developers.google.com/earth-engine/datasets/catalog/JRC_GSW1_4_GlobalSurfaceWater" xr:uid="{B183A88C-7B1C-4616-BFAD-667F8D82A030}"/>
    <hyperlink ref="D17" r:id="rId9" xr:uid="{7412EE16-929B-4CA6-A66C-421F8BCD7D7A}"/>
    <hyperlink ref="D18" r:id="rId10" display="https://gee-community-catalog.org/projects/globgm/" xr:uid="{1B3833FE-0E3E-4150-80CA-DFF885A5173E}"/>
    <hyperlink ref="D19" r:id="rId11" display="https://sites.ualberta.ca/~ahamann/data/climateaf.html" xr:uid="{922725B8-AD4C-4E7E-8005-4502D21CF765}"/>
    <hyperlink ref="D22" r:id="rId12" display="https://www.gloh2o.org/koppen/" xr:uid="{857ED85A-33BA-447F-8701-50438EA7F462}"/>
    <hyperlink ref="D26" r:id="rId13" display="https://datacatalog.worldbank.org/search/dataset/0062763/Global-Flood-Exposure--Gridded-exposure-headcounts-by-country" xr:uid="{9DF1FDBE-C468-4351-BD06-E77FC7FB46CC}"/>
    <hyperlink ref="D27" r:id="rId14" display="https://data.humdata.org/dataset/cyclone-wind-100-years-return-period?" xr:uid="{14B198BB-B639-44A7-B975-9E076C5D0D8A}"/>
    <hyperlink ref="D28" r:id="rId15" display="https://data.humdata.org/dataset/cyclone-wind-100-years-return-period?" xr:uid="{DE093ADD-1472-44A7-84B0-6A2FE4F1208B}"/>
    <hyperlink ref="D29" r:id="rId16" display="https://glad.umd.edu/dataset/croplands" xr:uid="{CD4902D3-F021-4CAE-8EAC-5EB9F6EADAA1}"/>
    <hyperlink ref="D30" r:id="rId17" display="https://dataverse.harvard.edu/dataset.xhtml?persistentId=doi:10.7910/DVN/SWPENT" xr:uid="{3FBEB31D-CA4C-4A29-8B47-B68A578E5D60}"/>
    <hyperlink ref="D32" r:id="rId18" location="qt-science_center_objects" display="https://www.usgs.gov/centers/eros/science/usgs-eros-archive-digital-elevation-shuttle-radar-topography-mission-srtm-1?qt-science_center_objects=0 - qt-science_center_objects" xr:uid="{387F4FF5-9BB8-465B-8029-7455F34C07AD}"/>
    <hyperlink ref="D33" r:id="rId19" display="https://www.ipcinfo.org/ipc-country-analysis/en/" xr:uid="{22792688-07F2-492D-824A-7E66BA346423}"/>
    <hyperlink ref="D34" r:id="rId20" xr:uid="{54989577-63A6-4AEF-8BD4-85E5FB4431BC}"/>
    <hyperlink ref="F34" r:id="rId21" display="https://data.worldbank.org/indicator/EG.ELC.ACCS.ZS" xr:uid="{4E96BE19-A885-45B4-9A01-1191AFADF854}"/>
    <hyperlink ref="D35" r:id="rId22" display="https://fews.net/mozambique-livelihood-zones-2014" xr:uid="{3C203F17-CBFB-4C7D-B57B-61E502FDFCE4}"/>
    <hyperlink ref="D36" r:id="rId23" display="https://data.apps.fao.org/catalog/iso/9d1e149b-d63f-4213-978b-317a8eb42d02" xr:uid="{88066F74-A303-4A1A-8EBC-A0AB66C93B75}"/>
    <hyperlink ref="D37" r:id="rId24" location="data-documentation" display="https://worldbank.github.io/climateknowledgeportal/README.html - data-documentation" xr:uid="{DBB14CC5-43E9-474E-8B6C-EBCF7CC41F92}"/>
    <hyperlink ref="D39" r:id="rId25" display="https://globalsolaratlas.info/map" xr:uid="{0300B41D-64EA-431F-8DCB-4D4BA9C99522}"/>
    <hyperlink ref="D40" r:id="rId26" display="https://sites.ualberta.ca/~ahamann/data/climateaf.html" xr:uid="{CE98B018-2BD6-441E-841C-C6416AAEFF46}"/>
    <hyperlink ref="D43" r:id="rId27" location="data-documentation" display="https://worldbank.github.io/climateknowledgeportal/README.html - data-documentation" xr:uid="{467E14D8-4706-42C9-8F41-3E850E2A7CB7}"/>
    <hyperlink ref="D45" r:id="rId28" location="data-documentation" display="https://worldbank.github.io/climateknowledgeportal/README.html - data-documentation" xr:uid="{6948EE49-92D5-4A53-B1E8-2FB1A499CC29}"/>
    <hyperlink ref="D46" r:id="rId29" display="https://dataforgood.facebook.com/dfg/tools/relative-wealth-index" xr:uid="{BA62EAE2-ABC1-451A-ADEE-E71BEEB07D47}"/>
    <hyperlink ref="D47" r:id="rId30" display="https://eogdata.mines.edu/products/vnl/" xr:uid="{037942CD-9C4D-4BE1-A3BE-19B874CA05BD}"/>
    <hyperlink ref="D48" r:id="rId31" display="https://acleddata.com/data-export-tool/" xr:uid="{9EAC1EB6-80ED-4A13-9D26-EBDD7A0EDBCA}"/>
    <hyperlink ref="D49" r:id="rId32" display="https://datacatalog.worldbank.org/search/dataset/0042041" xr:uid="{5E358347-C945-4143-886B-223BEEB97602}"/>
    <hyperlink ref="D50" r:id="rId33" display="https://www.instat.mg/p/mpeb-mise-a-jour-de-lenquete-cadre-nationale-2012-2013-sur-la-petite-peche-maritime-et-la-peche-continentale-2023" xr:uid="{07C2AE57-8289-408E-B49C-7D6229AE9478}"/>
  </hyperlinks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Yes_x002f_No xmlns="418c1687-f2b4-4c60-bff4-9f013a1b0e9b">true</Yes_x002f_No>
    <lcf76f155ced4ddcb4097134ff3c332f xmlns="418c1687-f2b4-4c60-bff4-9f013a1b0e9b">
      <Terms xmlns="http://schemas.microsoft.com/office/infopath/2007/PartnerControls"/>
    </lcf76f155ced4ddcb4097134ff3c332f>
    <Datetime xmlns="418c1687-f2b4-4c60-bff4-9f013a1b0e9b" xsi:nil="true"/>
    <Date_x002f_Time xmlns="418c1687-f2b4-4c60-bff4-9f013a1b0e9b" xsi:nil="true"/>
    <Date xmlns="418c1687-f2b4-4c60-bff4-9f013a1b0e9b" xsi:nil="true"/>
    <TaxCatchAll xmlns="dd8682f3-14aa-4a86-bc0b-a7c76dafad6d" xsi:nil="true"/>
  </documentManagement>
</p:properties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71561D1A5621A2498CEC3D8456AF0272" ma:contentTypeVersion="23" ma:contentTypeDescription="Create a new document." ma:contentTypeScope="" ma:versionID="673ae7116fe741eba857aa140154d293">
  <xsd:schema xmlns:xsd="http://www.w3.org/2001/XMLSchema" xmlns:xs="http://www.w3.org/2001/XMLSchema" xmlns:p="http://schemas.microsoft.com/office/2006/metadata/properties" xmlns:ns2="dd8682f3-14aa-4a86-bc0b-a7c76dafad6d" xmlns:ns3="418c1687-f2b4-4c60-bff4-9f013a1b0e9b" targetNamespace="http://schemas.microsoft.com/office/2006/metadata/properties" ma:root="true" ma:fieldsID="1d91f7a8935eb54ad5101523981e9c0e" ns2:_="" ns3:_="">
    <xsd:import namespace="dd8682f3-14aa-4a86-bc0b-a7c76dafad6d"/>
    <xsd:import namespace="418c1687-f2b4-4c60-bff4-9f013a1b0e9b"/>
    <xsd:element name="properties">
      <xsd:complexType>
        <xsd:sequence>
          <xsd:element name="documentManagement">
            <xsd:complexType>
              <xsd:all>
                <xsd:element ref="ns2:SharedWithUsers" minOccurs="0"/>
                <xsd:element ref="ns2:SharedWithDetails" minOccurs="0"/>
                <xsd:element ref="ns3:MediaServiceMetadata" minOccurs="0"/>
                <xsd:element ref="ns3:MediaServiceFastMetadata" minOccurs="0"/>
                <xsd:element ref="ns3:MediaServiceDateTaken" minOccurs="0"/>
                <xsd:element ref="ns3:MediaServiceAutoTags" minOccurs="0"/>
                <xsd:element ref="ns3:MediaServiceLocation" minOccurs="0"/>
                <xsd:element ref="ns3:MediaServiceOCR" minOccurs="0"/>
                <xsd:element ref="ns3:MediaServiceGenerationTime" minOccurs="0"/>
                <xsd:element ref="ns3:MediaServiceEventHashCode" minOccurs="0"/>
                <xsd:element ref="ns3:MediaServiceAutoKeyPoints" minOccurs="0"/>
                <xsd:element ref="ns3:MediaServiceKeyPoints" minOccurs="0"/>
                <xsd:element ref="ns3:Date" minOccurs="0"/>
                <xsd:element ref="ns3:MediaLengthInSeconds" minOccurs="0"/>
                <xsd:element ref="ns3:Yes_x002f_No" minOccurs="0"/>
                <xsd:element ref="ns3:lcf76f155ced4ddcb4097134ff3c332f" minOccurs="0"/>
                <xsd:element ref="ns2:TaxCatchAll" minOccurs="0"/>
                <xsd:element ref="ns3:Date_x002f_Time" minOccurs="0"/>
                <xsd:element ref="ns3:Datetime" minOccurs="0"/>
                <xsd:element ref="ns3:MediaServiceObjectDetectorVersions" minOccurs="0"/>
                <xsd:element ref="ns3:MediaServiceSearchProperties" minOccurs="0"/>
                <xsd:element ref="ns3:MediaServiceBillingMetadata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dd8682f3-14aa-4a86-bc0b-a7c76dafad6d" elementFormDefault="qualified">
    <xsd:import namespace="http://schemas.microsoft.com/office/2006/documentManagement/types"/>
    <xsd:import namespace="http://schemas.microsoft.com/office/infopath/2007/PartnerControls"/>
    <xsd:element name="SharedWithUsers" ma:index="8" nillable="true" ma:displayName="Shared With" ma:description="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9" nillable="true" ma:displayName="Shared With Details" ma:description="" ma:internalName="SharedWithDetails" ma:readOnly="true">
      <xsd:simpleType>
        <xsd:restriction base="dms:Note">
          <xsd:maxLength value="255"/>
        </xsd:restriction>
      </xsd:simpleType>
    </xsd:element>
    <xsd:element name="TaxCatchAll" ma:index="25" nillable="true" ma:displayName="Taxonomy Catch All Column" ma:hidden="true" ma:list="{5fcdcfff-05c2-48c0-a5b6-3d57bc6500d3}" ma:internalName="TaxCatchAll" ma:showField="CatchAllData" ma:web="dd8682f3-14aa-4a86-bc0b-a7c76dafad6d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418c1687-f2b4-4c60-bff4-9f013a1b0e9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10" nillable="true" ma:displayName="MediaServiceMetadata" ma:description="" ma:hidden="true" ma:internalName="MediaServiceMetadata" ma:readOnly="true">
      <xsd:simpleType>
        <xsd:restriction base="dms:Note"/>
      </xsd:simpleType>
    </xsd:element>
    <xsd:element name="MediaServiceFastMetadata" ma:index="11" nillable="true" ma:displayName="MediaServiceFastMetadata" ma:description="" ma:hidden="true" ma:internalName="MediaServiceFastMetadata" ma:readOnly="true">
      <xsd:simpleType>
        <xsd:restriction base="dms:Note"/>
      </xsd:simpleType>
    </xsd:element>
    <xsd:element name="MediaServiceDateTaken" ma:index="12" nillable="true" ma:displayName="MediaServiceDateTaken" ma:description="" ma:hidden="true" ma:internalName="MediaServiceDateTaken" ma:readOnly="true">
      <xsd:simpleType>
        <xsd:restriction base="dms:Text"/>
      </xsd:simpleType>
    </xsd:element>
    <xsd:element name="MediaServiceAutoTags" ma:index="13" nillable="true" ma:displayName="MediaServiceAutoTags" ma:description="" ma:internalName="MediaServiceAutoTags" ma:readOnly="true">
      <xsd:simpleType>
        <xsd:restriction base="dms:Text"/>
      </xsd:simpleType>
    </xsd:element>
    <xsd:element name="MediaServiceLocation" ma:index="14" nillable="true" ma:displayName="MediaServiceLocation" ma:description="" ma:internalName="MediaServiceLocation" ma:readOnly="true">
      <xsd:simpleType>
        <xsd:restriction base="dms:Text"/>
      </xsd:simpleType>
    </xsd:element>
    <xsd:element name="MediaServiceOCR" ma:index="15" nillable="true" ma:displayName="MediaServiceOCR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AutoKeyPoints" ma:index="18" nillable="true" ma:displayName="MediaServiceAutoKeyPoints" ma:hidden="true" ma:internalName="MediaServiceAutoKeyPoints" ma:readOnly="true">
      <xsd:simpleType>
        <xsd:restriction base="dms:Note"/>
      </xsd:simpleType>
    </xsd:element>
    <xsd:element name="MediaServiceKeyPoints" ma:index="19" nillable="true" ma:displayName="KeyPoints" ma:internalName="MediaServiceKeyPoints" ma:readOnly="true">
      <xsd:simpleType>
        <xsd:restriction base="dms:Note">
          <xsd:maxLength value="255"/>
        </xsd:restriction>
      </xsd:simpleType>
    </xsd:element>
    <xsd:element name="Date" ma:index="20" nillable="true" ma:displayName="Date" ma:format="DateTime" ma:internalName="Date">
      <xsd:simpleType>
        <xsd:restriction base="dms:DateTime"/>
      </xsd:simpleType>
    </xsd:element>
    <xsd:element name="MediaLengthInSeconds" ma:index="21" nillable="true" ma:displayName="Length (seconds)" ma:internalName="MediaLengthInSeconds" ma:readOnly="true">
      <xsd:simpleType>
        <xsd:restriction base="dms:Unknown"/>
      </xsd:simpleType>
    </xsd:element>
    <xsd:element name="Yes_x002f_No" ma:index="22" nillable="true" ma:displayName="Yes/No" ma:default="1" ma:format="Dropdown" ma:internalName="Yes_x002f_No">
      <xsd:simpleType>
        <xsd:restriction base="dms:Boolean"/>
      </xsd:simpleType>
    </xsd:element>
    <xsd:element name="lcf76f155ced4ddcb4097134ff3c332f" ma:index="24" nillable="true" ma:taxonomy="true" ma:internalName="lcf76f155ced4ddcb4097134ff3c332f" ma:taxonomyFieldName="MediaServiceImageTags" ma:displayName="Image Tags" ma:readOnly="false" ma:fieldId="{5cf76f15-5ced-4ddc-b409-7134ff3c332f}" ma:taxonomyMulti="true" ma:sspId="4d4168d7-2d3a-468e-86fb-7813e7399bd7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Date_x002f_Time" ma:index="26" nillable="true" ma:displayName="Date/Time" ma:format="DateOnly" ma:internalName="Date_x002f_Time">
      <xsd:simpleType>
        <xsd:restriction base="dms:DateTime"/>
      </xsd:simpleType>
    </xsd:element>
    <xsd:element name="Datetime" ma:index="27" nillable="true" ma:displayName="Date time" ma:format="DateTime" ma:internalName="Datetime">
      <xsd:simpleType>
        <xsd:restriction base="dms:DateTime"/>
      </xsd:simpleType>
    </xsd:element>
    <xsd:element name="MediaServiceObjectDetectorVersions" ma:index="28" nillable="true" ma:displayName="MediaServiceObjectDetectorVersions" ma:description="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2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BillingMetadata" ma:index="30" nillable="true" ma:displayName="MediaServiceBillingMetadata" ma:hidden="true" ma:internalName="MediaServiceBillingMetadata" ma:readOnly="true">
      <xsd:simpleType>
        <xsd:restriction base="dms:Note"/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80AD1BE0-AD7B-442D-A04B-E0F6AD5F431F}">
  <ds:schemaRefs>
    <ds:schemaRef ds:uri="http://schemas.openxmlformats.org/package/2006/metadata/core-properties"/>
    <ds:schemaRef ds:uri="http://schemas.microsoft.com/office/2006/metadata/properties"/>
    <ds:schemaRef ds:uri="http://www.w3.org/XML/1998/namespace"/>
    <ds:schemaRef ds:uri="dd8682f3-14aa-4a86-bc0b-a7c76dafad6d"/>
    <ds:schemaRef ds:uri="http://purl.org/dc/terms/"/>
    <ds:schemaRef ds:uri="http://purl.org/dc/dcmitype/"/>
    <ds:schemaRef ds:uri="418c1687-f2b4-4c60-bff4-9f013a1b0e9b"/>
    <ds:schemaRef ds:uri="http://purl.org/dc/elements/1.1/"/>
    <ds:schemaRef ds:uri="http://schemas.microsoft.com/office/2006/documentManagement/types"/>
    <ds:schemaRef ds:uri="http://schemas.microsoft.com/office/infopath/2007/PartnerControls"/>
  </ds:schemaRefs>
</ds:datastoreItem>
</file>

<file path=customXml/itemProps2.xml><?xml version="1.0" encoding="utf-8"?>
<ds:datastoreItem xmlns:ds="http://schemas.openxmlformats.org/officeDocument/2006/customXml" ds:itemID="{4DE1B351-0596-4C3C-85C1-37E39234270C}">
  <ds:schemaRefs>
    <ds:schemaRef ds:uri="http://schemas.microsoft.com/sharepoint/v3/contenttype/forms"/>
  </ds:schemaRefs>
</ds:datastoreItem>
</file>

<file path=customXml/itemProps3.xml><?xml version="1.0" encoding="utf-8"?>
<ds:datastoreItem xmlns:ds="http://schemas.openxmlformats.org/officeDocument/2006/customXml" ds:itemID="{307F9656-75CD-4FE8-B440-A891FFC37FF8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dd8682f3-14aa-4a86-bc0b-a7c76dafad6d"/>
    <ds:schemaRef ds:uri="418c1687-f2b4-4c60-bff4-9f013a1b0e9b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table</vt:lpstr>
      <vt:lpstr>all (temp)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Davide Mazzoni</dc:creator>
  <cp:lastModifiedBy>Davide Mazzoni</cp:lastModifiedBy>
  <dcterms:created xsi:type="dcterms:W3CDTF">2025-12-04T16:14:21Z</dcterms:created>
  <dcterms:modified xsi:type="dcterms:W3CDTF">2025-12-08T03:03:29Z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0x01010071561D1A5621A2498CEC3D8456AF0272</vt:lpwstr>
  </property>
  <property fmtid="{D5CDD505-2E9C-101B-9397-08002B2CF9AE}" pid="3" name="MediaServiceImageTags">
    <vt:lpwstr/>
  </property>
</Properties>
</file>